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0.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ml.chartshapes+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3.xml" ContentType="application/vnd.openxmlformats-officedocument.drawingml.chartshapes+xml"/>
  <Override PartName="/xl/drawings/drawing14.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https://d.docs.live.net/4f21fce558b2bfc9/"/>
    </mc:Choice>
  </mc:AlternateContent>
  <xr:revisionPtr revIDLastSave="0" documentId="8_{FF43318C-6B5E-46CE-892D-65F8D5A9E047}" xr6:coauthVersionLast="47" xr6:coauthVersionMax="47" xr10:uidLastSave="{00000000-0000-0000-0000-000000000000}"/>
  <bookViews>
    <workbookView xWindow="-108" yWindow="-108" windowWidth="23256" windowHeight="13896" activeTab="4" xr2:uid="{ADB8EE67-188D-4D17-837A-5119BDE9E6E6}"/>
  </bookViews>
  <sheets>
    <sheet name="MAIN DATA" sheetId="9" r:id="rId1"/>
    <sheet name="WORKING DATASET" sheetId="10" r:id="rId2"/>
    <sheet name="#" sheetId="1" r:id="rId3"/>
    <sheet name="Q-1" sheetId="2" r:id="rId4"/>
    <sheet name="Q-2" sheetId="3" r:id="rId5"/>
    <sheet name="Q-3 (A)" sheetId="4" r:id="rId6"/>
    <sheet name="Q-3 (B)" sheetId="5" r:id="rId7"/>
    <sheet name="Q-4 " sheetId="7" r:id="rId8"/>
    <sheet name="Q-5" sheetId="6" r:id="rId9"/>
  </sheets>
  <externalReferences>
    <externalReference r:id="rId10"/>
  </externalReferences>
  <definedNames>
    <definedName name="_xlchart.v1.3" hidden="1">'[1]3.M_O_M'!$AP$2:$AP$13</definedName>
    <definedName name="_xlchart.v1.4" hidden="1">'[1]3.M_O_M'!$AQ$2:$AQ$13</definedName>
    <definedName name="_xlchart.v5.0" hidden="1">'[1]3.M_O_M'!$AC$3:$AC$14</definedName>
    <definedName name="_xlchart.v5.1" hidden="1">'[1]3.M_O_M'!$AD$2</definedName>
    <definedName name="_xlchart.v5.2" hidden="1">'[1]3.M_O_M'!$AD$3:$AD$14</definedName>
  </definedNames>
  <calcPr calcId="191029"/>
  <pivotCaches>
    <pivotCache cacheId="0" r:id="rId11"/>
    <pivotCache cacheId="1" r:id="rId12"/>
    <pivotCache cacheId="2"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66" i="10" l="1"/>
  <c r="Y266" i="10"/>
  <c r="O266" i="10"/>
  <c r="AD265" i="10"/>
  <c r="AC265" i="10"/>
  <c r="AB265" i="10"/>
  <c r="AA265" i="10"/>
  <c r="Z265" i="10"/>
  <c r="Y265" i="10"/>
  <c r="O265" i="10"/>
  <c r="O268" i="10" s="1"/>
  <c r="E265" i="10"/>
  <c r="AD264" i="10"/>
  <c r="AC264" i="10"/>
  <c r="AB264" i="10"/>
  <c r="AA264" i="10"/>
  <c r="Z264" i="10"/>
  <c r="Y264" i="10"/>
  <c r="O264" i="10"/>
  <c r="O267" i="10" s="1"/>
  <c r="E264" i="10"/>
  <c r="AD263" i="10"/>
  <c r="AC263" i="10"/>
  <c r="AB263" i="10"/>
  <c r="AA263" i="10"/>
  <c r="Z263" i="10"/>
  <c r="Y263" i="10"/>
  <c r="O263" i="10"/>
  <c r="E263" i="10"/>
  <c r="G11" i="4"/>
  <c r="U13" i="5"/>
  <c r="D33" i="6"/>
  <c r="J33" i="6"/>
  <c r="I33" i="6"/>
  <c r="H33" i="6"/>
  <c r="G33" i="6"/>
  <c r="F33" i="6"/>
  <c r="E33" i="6"/>
  <c r="K21" i="4"/>
  <c r="G23"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2" i="4"/>
  <c r="G21" i="4"/>
  <c r="G20" i="4"/>
  <c r="G19" i="4"/>
  <c r="G18" i="4"/>
  <c r="G17" i="4"/>
  <c r="G16" i="4"/>
  <c r="G15" i="4"/>
  <c r="G14" i="4"/>
  <c r="G13" i="4"/>
  <c r="G12" i="4"/>
  <c r="H27" i="3"/>
</calcChain>
</file>

<file path=xl/sharedStrings.xml><?xml version="1.0" encoding="utf-8"?>
<sst xmlns="http://schemas.openxmlformats.org/spreadsheetml/2006/main" count="4278" uniqueCount="195">
  <si>
    <t xml:space="preserve">Broader categories (buckets)  based on similar category </t>
  </si>
  <si>
    <t>Cereals and products</t>
  </si>
  <si>
    <t>Oils and fats</t>
  </si>
  <si>
    <t>Fruits</t>
  </si>
  <si>
    <t>Vegetables</t>
  </si>
  <si>
    <t>Essential food</t>
  </si>
  <si>
    <t>Pulses and products</t>
  </si>
  <si>
    <t>Sugar and Confectionery</t>
  </si>
  <si>
    <t>Spices</t>
  </si>
  <si>
    <t>Meat and fish</t>
  </si>
  <si>
    <t>Egg</t>
  </si>
  <si>
    <t>Milk and products</t>
  </si>
  <si>
    <t>Food &amp; Beverages</t>
  </si>
  <si>
    <t>Non-alcoholic beverages</t>
  </si>
  <si>
    <t>Prepared meals, snacks, sweets etc.</t>
  </si>
  <si>
    <t>Clothing</t>
  </si>
  <si>
    <t>Footwear</t>
  </si>
  <si>
    <t>Personal items</t>
  </si>
  <si>
    <t>Clothing and footwear</t>
  </si>
  <si>
    <t>Personal care and effects</t>
  </si>
  <si>
    <t>Miscellaneous</t>
  </si>
  <si>
    <t xml:space="preserve"> </t>
  </si>
  <si>
    <t>Housing</t>
  </si>
  <si>
    <t>Fuel and light</t>
  </si>
  <si>
    <t>Home services</t>
  </si>
  <si>
    <t>Household goods and services</t>
  </si>
  <si>
    <t>Transport and communication</t>
  </si>
  <si>
    <t>Essential services</t>
  </si>
  <si>
    <t>Recreation and amusement</t>
  </si>
  <si>
    <t>Education</t>
  </si>
  <si>
    <t>Pan, tobacco and intoxicants</t>
  </si>
  <si>
    <t>Intoxicants</t>
  </si>
  <si>
    <t>Health</t>
  </si>
  <si>
    <t>Healthcare</t>
  </si>
  <si>
    <t>#</t>
  </si>
  <si>
    <t xml:space="preserve">Q -1 </t>
  </si>
  <si>
    <t xml:space="preserve">For latest month(May-2023)  ,  Which broader category has the highest contribution towards India CPI inflation </t>
  </si>
  <si>
    <t>Sector</t>
  </si>
  <si>
    <t>Year</t>
  </si>
  <si>
    <t>Month</t>
  </si>
  <si>
    <t>Food and beverages</t>
  </si>
  <si>
    <t>Rural</t>
  </si>
  <si>
    <t>May</t>
  </si>
  <si>
    <t>-</t>
  </si>
  <si>
    <t>Urban</t>
  </si>
  <si>
    <t>Rural+Urban</t>
  </si>
  <si>
    <t>dataset</t>
  </si>
  <si>
    <t>% contribution</t>
  </si>
  <si>
    <t>Food &amp; beverages</t>
  </si>
  <si>
    <t>RURAL  SECTOR</t>
  </si>
  <si>
    <t>URBAN SECTOR</t>
  </si>
  <si>
    <t>CATEGORY</t>
  </si>
  <si>
    <t>% CONTRIBUTION</t>
  </si>
  <si>
    <t>Q-2</t>
  </si>
  <si>
    <t xml:space="preserve">Creating the graph depicting the growth rate Y-O-Y,  Identify year with the highest inflation rate in rural+urban sector,   highlighting the reason </t>
  </si>
  <si>
    <t>General index</t>
  </si>
  <si>
    <t>January</t>
  </si>
  <si>
    <t>February</t>
  </si>
  <si>
    <t>March</t>
  </si>
  <si>
    <t>April</t>
  </si>
  <si>
    <t>June</t>
  </si>
  <si>
    <t>July</t>
  </si>
  <si>
    <t>August</t>
  </si>
  <si>
    <t>September</t>
  </si>
  <si>
    <t>October</t>
  </si>
  <si>
    <t>November</t>
  </si>
  <si>
    <t>December</t>
  </si>
  <si>
    <t>NA</t>
  </si>
  <si>
    <t>DATASET</t>
  </si>
  <si>
    <t>2017 onwords</t>
  </si>
  <si>
    <t>Y-O-Y</t>
  </si>
  <si>
    <t>YEAR</t>
  </si>
  <si>
    <t>(CPI END YEAR-CPI START YEAR)/CPI START YEAR)*100</t>
  </si>
  <si>
    <t xml:space="preserve">RURAL+URBAN SECTOR </t>
  </si>
  <si>
    <t>REASON</t>
  </si>
  <si>
    <t>Q-3</t>
  </si>
  <si>
    <t xml:space="preserve">Highlight the month with highest &amp; lowest food inflation following for the 12 months ending may'23 </t>
  </si>
  <si>
    <t xml:space="preserve">DATASET </t>
  </si>
  <si>
    <t>E.food</t>
  </si>
  <si>
    <t>FOOD CATEGORY</t>
  </si>
  <si>
    <t>M-O-M</t>
  </si>
  <si>
    <t>(CPI in current mnth-CPI in Previous mnth)/CPI in previous mnth)*100</t>
  </si>
  <si>
    <t>RURAL</t>
  </si>
  <si>
    <t>URBAN</t>
  </si>
  <si>
    <t>R+U</t>
  </si>
  <si>
    <t>aug</t>
  </si>
  <si>
    <t>sep</t>
  </si>
  <si>
    <t>oct</t>
  </si>
  <si>
    <t>nov</t>
  </si>
  <si>
    <t>dec</t>
  </si>
  <si>
    <t>jan</t>
  </si>
  <si>
    <t>feb</t>
  </si>
  <si>
    <t xml:space="preserve">march </t>
  </si>
  <si>
    <t>april</t>
  </si>
  <si>
    <t>may</t>
  </si>
  <si>
    <t xml:space="preserve">Identify the absolute changes (Y-O-Y) For the same 12 months period for food category &amp; identify which category has the highest contribution towards the inflation </t>
  </si>
  <si>
    <t>Y_O_Y</t>
  </si>
  <si>
    <t>Q-5</t>
  </si>
  <si>
    <t xml:space="preserve">Identify category whose inflation prices strongly changes with the fluctuation in the impoted crude oil prices (2021-2023) </t>
  </si>
  <si>
    <t>imported oil price</t>
  </si>
  <si>
    <t xml:space="preserve">intoxicants </t>
  </si>
  <si>
    <t xml:space="preserve">home services </t>
  </si>
  <si>
    <t xml:space="preserve">personal items </t>
  </si>
  <si>
    <t>Eessebtial food</t>
  </si>
  <si>
    <t>Eessential services</t>
  </si>
  <si>
    <t>food &amp; beverages..</t>
  </si>
  <si>
    <t>oc-21</t>
  </si>
  <si>
    <t>correlate</t>
  </si>
  <si>
    <t>Q-4</t>
  </si>
  <si>
    <t xml:space="preserve">The impact of covid_19 on inflation rate of several categories like food, Healthcare, Essential services, etc.. </t>
  </si>
  <si>
    <t>Row Labels</t>
  </si>
  <si>
    <t>Sum of rural</t>
  </si>
  <si>
    <t>Sum of urban</t>
  </si>
  <si>
    <t>2017-2018</t>
  </si>
  <si>
    <t>2018-2019</t>
  </si>
  <si>
    <t>2019-2020</t>
  </si>
  <si>
    <t>mar-20</t>
  </si>
  <si>
    <t>2020-2021</t>
  </si>
  <si>
    <t>2021-2022</t>
  </si>
  <si>
    <t>2022-2023</t>
  </si>
  <si>
    <t>Grand Total</t>
  </si>
  <si>
    <t>HEALTHCARE</t>
  </si>
  <si>
    <t>MAR-20</t>
  </si>
  <si>
    <t xml:space="preserve">RURAL </t>
  </si>
  <si>
    <t>RURAL SECTOR</t>
  </si>
  <si>
    <t xml:space="preserve">URBAN SECTOR </t>
  </si>
  <si>
    <t xml:space="preserve">ESSENTIAL SERVICES </t>
  </si>
  <si>
    <t xml:space="preserve">ESSENTIAL FOOD </t>
  </si>
  <si>
    <t xml:space="preserve">remaining R+U sector has also the same analysis , which include subcategories like cereals, fruits , pulses, spices &amp; sugar are biggest contributed </t>
  </si>
  <si>
    <t xml:space="preserve">towards the CPI inflation  </t>
  </si>
  <si>
    <r>
      <t xml:space="preserve">In May-2023 , From above analysis we can say that </t>
    </r>
    <r>
      <rPr>
        <b/>
        <u/>
        <sz val="11"/>
        <color theme="9"/>
        <rFont val="Calibri"/>
        <family val="2"/>
        <scheme val="minor"/>
      </rPr>
      <t>Essential food category</t>
    </r>
    <r>
      <rPr>
        <b/>
        <sz val="11"/>
        <color theme="1"/>
        <rFont val="Calibri"/>
        <family val="2"/>
        <scheme val="minor"/>
      </rPr>
      <t xml:space="preserve"> contributed almost 35.5% in Rural sector &amp; 26.2% in Urban sector,&amp;   </t>
    </r>
  </si>
  <si>
    <t>Eessential food</t>
  </si>
  <si>
    <t>From researches, The reason behind these changes is due to the Seasonal changes</t>
  </si>
  <si>
    <t>*</t>
  </si>
  <si>
    <t xml:space="preserve">In rural sector , June-2022  month has the highest inflation rate for food category  </t>
  </si>
  <si>
    <t xml:space="preserve">In rural sector , Feb-2023   month has the lowest  inflation rate for food category </t>
  </si>
  <si>
    <t xml:space="preserve">In Urban sector , June-2022  month has the highest inflation rate for food category  </t>
  </si>
  <si>
    <t xml:space="preserve">In Urban sector , Dec-2022  month has the lowest  inflation rate for food category </t>
  </si>
  <si>
    <t xml:space="preserve">RURAL SECTOR </t>
  </si>
  <si>
    <t xml:space="preserve">URBEN SECTOR </t>
  </si>
  <si>
    <t xml:space="preserve">SPICES Category has  the biggest contribution towards the CPI inflation among food category in all sectors </t>
  </si>
  <si>
    <t xml:space="preserve">After COVID19 , The inflation rate of Healthcare services  is decreases  in rural sector </t>
  </si>
  <si>
    <t xml:space="preserve">After COVID19 , The inflation rate of Healthcare services  is increases  in urban sector  </t>
  </si>
  <si>
    <t xml:space="preserve">After COVID19, The inflation rate of Essential services is decreases in Rural sector </t>
  </si>
  <si>
    <t>From the above chart , we can say that after COVID19, the inflation rate of Essential Food services</t>
  </si>
  <si>
    <t xml:space="preserve">is increases in both the sector </t>
  </si>
  <si>
    <t xml:space="preserve">The peak of increasing the inflation rate is 2021-2022 in both the sector </t>
  </si>
  <si>
    <t xml:space="preserve">Essential Services inflation prices strongly change with </t>
  </si>
  <si>
    <t>the fiuctuation in the imported crude oil prices</t>
  </si>
  <si>
    <t xml:space="preserve">In 2021-2022, </t>
  </si>
  <si>
    <t>FROM RESEARCH</t>
  </si>
  <si>
    <t>The COVID-19 pandemic and Russia's invasion of Ukraine led to supply chain disruptions, causing crude oil prices to surge</t>
  </si>
  <si>
    <t>The rise in crude oil prices exacerbated inflationary pressures, affecting the overall cost of living and the prices of essential services</t>
  </si>
  <si>
    <t>the rise in crude oil prices led to higher fuel and diesel prices, which in turn impacted the prices of essential services  The Indian economy, being heavily reliant on imported crude oil, was particularly vulnerable to fluctuations in global crude oil prices.</t>
  </si>
  <si>
    <t>Overall, the relationship between crude oil prices and essential services prices in 2021-2022 was significant, with fluctuations in crude oil prices having a ripple effect on various sectors and the overall economy.</t>
  </si>
  <si>
    <t>(For urban sector, 2021-2022)</t>
  </si>
  <si>
    <t xml:space="preserve"> providers and decreasing prices.</t>
  </si>
  <si>
    <t xml:space="preserve">Governments increased spending on public healthcare, reducing reliance on private </t>
  </si>
  <si>
    <t>for healthcare services in rural areas.</t>
  </si>
  <si>
    <t>The pandemic led to reduced mobility and economic activity, resulting in lower demand</t>
  </si>
  <si>
    <t xml:space="preserve"> them to maintain or reduce prices.</t>
  </si>
  <si>
    <t xml:space="preserve">Local healthcare providers in rural areas often have lower operational costs, enabling </t>
  </si>
  <si>
    <t>services, helping to keep costs in check.</t>
  </si>
  <si>
    <t xml:space="preserve">Governments implemented price controls on essential medicines and healthcare </t>
  </si>
  <si>
    <t>consumers in the form of higher prices.</t>
  </si>
  <si>
    <t>The pandemic exacerbated the existing shortage of medical professionals, particularly</t>
  </si>
  <si>
    <t>in urban areas. This shortage led to higher labor costs, which were passed on to</t>
  </si>
  <si>
    <t>which drove up costs and, subsequently, prices.</t>
  </si>
  <si>
    <t>the pandemic highlighted the need for improved healthcare infrastructure, particularly</t>
  </si>
  <si>
    <t>in urban areas. This led to increased investment in healthcare infrastructure,</t>
  </si>
  <si>
    <t>chains, reducing dependence on external markets and prices.</t>
  </si>
  <si>
    <t>Rural communities became more self-sufficient, relying on local production and supply</t>
  </si>
  <si>
    <t xml:space="preserve"> to lower prices for essential services.</t>
  </si>
  <si>
    <t xml:space="preserve">With reduced mobility and economic activity, transportation costs decreased, leading </t>
  </si>
  <si>
    <t xml:space="preserve">After COVID19, The inflation rate of Essential services is increases in urban sector </t>
  </si>
  <si>
    <t xml:space="preserve"> shortages and price increases for essential goods and services.</t>
  </si>
  <si>
    <t xml:space="preserve"> COVID-19 related lockdowns and restrictions disrupted supply chains, leading to</t>
  </si>
  <si>
    <t>social distancing measures.</t>
  </si>
  <si>
    <t xml:space="preserve"> Urban businesses, such as restaurants and transportation services, faced increased </t>
  </si>
  <si>
    <t xml:space="preserve">operational costs due to COVID-19 protocols, such as sanitization and </t>
  </si>
  <si>
    <t>such as food delivery and online shopping, driving up prices.</t>
  </si>
  <si>
    <t xml:space="preserve">Urban consumers were willing to pay a premium for digital convenience, </t>
  </si>
  <si>
    <t xml:space="preserve"> COVID-19 led to supply chain disruptions, affecting the availability and prices of essential food items.</t>
  </si>
  <si>
    <t>Labor shortages and increased labor costs due to COVID-19 protocols contributed to higher food prices in both sectors.</t>
  </si>
  <si>
    <t>Panic buying and stockpiling during the pandemic led to shortages and higher prices for essential food items.</t>
  </si>
  <si>
    <t>India experienced monsoon deficits in 2021, affecting crop yields and leading to higher food prices.</t>
  </si>
  <si>
    <t xml:space="preserve">November </t>
  </si>
  <si>
    <t>Marcrh</t>
  </si>
  <si>
    <t>. This shortage drove up prices for food items, contributing to higher inflation.</t>
  </si>
  <si>
    <t xml:space="preserve">India experienced monsoon deficits in 2019, leading to crop failures and reduced agricultural output. </t>
  </si>
  <si>
    <t>These price hikes had a substantial impact on the overall inflation rate.</t>
  </si>
  <si>
    <t xml:space="preserve">Prices vegetables increased significantly in 2019 due to supply chain disruptions, crop diseases, and pests. </t>
  </si>
  <si>
    <t>also contributed to regional price increases, which had a ripple effect on the national inflation rate.</t>
  </si>
  <si>
    <t xml:space="preserve"> State-level factors, such as the Maharashtra drought and the Kerala floods, </t>
  </si>
  <si>
    <t>REASONS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</si>
</sst>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
    <numFmt numFmtId="165" formatCode="0.0"/>
    <numFmt numFmtId="166" formatCode="_ * #,##0.0_ ;_ * \-#,##0.0_ ;_ * &quot;-&quot;??_ ;_ @_ "/>
  </numFmts>
  <fonts count="12"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
      <sz val="18"/>
      <color theme="1"/>
      <name val="Calibri"/>
      <family val="2"/>
      <scheme val="minor"/>
    </font>
    <font>
      <b/>
      <u/>
      <sz val="11"/>
      <color theme="1"/>
      <name val="Calibri"/>
      <family val="2"/>
      <scheme val="minor"/>
    </font>
    <font>
      <b/>
      <sz val="12"/>
      <color theme="1"/>
      <name val="Calibri"/>
      <family val="2"/>
      <scheme val="minor"/>
    </font>
    <font>
      <b/>
      <u/>
      <sz val="11"/>
      <color theme="9"/>
      <name val="Calibri"/>
      <family val="2"/>
      <scheme val="minor"/>
    </font>
    <font>
      <u/>
      <sz val="11"/>
      <color theme="1"/>
      <name val="Calibri"/>
      <family val="2"/>
      <scheme val="minor"/>
    </font>
    <font>
      <b/>
      <u/>
      <sz val="14"/>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1">
    <xf numFmtId="0" fontId="0" fillId="0" borderId="0" xfId="0"/>
    <xf numFmtId="0" fontId="2" fillId="0" borderId="0" xfId="0" applyFont="1"/>
    <xf numFmtId="0" fontId="3" fillId="0" borderId="0" xfId="0" applyFont="1"/>
    <xf numFmtId="0" fontId="0" fillId="2" borderId="1" xfId="0" applyFill="1" applyBorder="1"/>
    <xf numFmtId="0" fontId="0" fillId="0" borderId="1" xfId="0" applyBorder="1"/>
    <xf numFmtId="0" fontId="2" fillId="0" borderId="1" xfId="0" applyFont="1" applyBorder="1"/>
    <xf numFmtId="0" fontId="0" fillId="3" borderId="0" xfId="0" applyFill="1"/>
    <xf numFmtId="164" fontId="0" fillId="0" borderId="1" xfId="2" applyNumberFormat="1" applyFont="1" applyBorder="1"/>
    <xf numFmtId="17" fontId="0" fillId="0" borderId="0" xfId="0" applyNumberFormat="1"/>
    <xf numFmtId="0" fontId="4" fillId="0" borderId="0" xfId="0" applyFont="1"/>
    <xf numFmtId="0" fontId="7" fillId="0" borderId="0" xfId="0" applyFont="1"/>
    <xf numFmtId="43" fontId="0" fillId="4" borderId="1" xfId="1" applyFont="1" applyFill="1" applyBorder="1"/>
    <xf numFmtId="43" fontId="0" fillId="0" borderId="1" xfId="1" applyFont="1" applyBorder="1"/>
    <xf numFmtId="0" fontId="3" fillId="0" borderId="1" xfId="0" applyFont="1" applyBorder="1"/>
    <xf numFmtId="0" fontId="0" fillId="5" borderId="0" xfId="0" applyFill="1"/>
    <xf numFmtId="164" fontId="0" fillId="4" borderId="1" xfId="2" applyNumberFormat="1" applyFont="1" applyFill="1" applyBorder="1"/>
    <xf numFmtId="0" fontId="0" fillId="3" borderId="1" xfId="0" applyFill="1" applyBorder="1"/>
    <xf numFmtId="0" fontId="0" fillId="7" borderId="1" xfId="0" applyFill="1" applyBorder="1"/>
    <xf numFmtId="17" fontId="0" fillId="0" borderId="1" xfId="0" applyNumberFormat="1" applyBorder="1" applyAlignment="1">
      <alignment horizontal="right"/>
    </xf>
    <xf numFmtId="0" fontId="0" fillId="0" borderId="1" xfId="0" applyBorder="1" applyAlignment="1">
      <alignment horizontal="right"/>
    </xf>
    <xf numFmtId="0" fontId="0" fillId="4" borderId="1" xfId="0" applyFill="1" applyBorder="1" applyAlignment="1">
      <alignment horizontal="right"/>
    </xf>
    <xf numFmtId="0" fontId="8" fillId="6" borderId="1" xfId="0" applyFont="1" applyFill="1" applyBorder="1"/>
    <xf numFmtId="9" fontId="8" fillId="6" borderId="1" xfId="2" applyFont="1" applyFill="1" applyBorder="1"/>
    <xf numFmtId="165" fontId="0" fillId="4" borderId="0" xfId="0" applyNumberFormat="1" applyFill="1"/>
    <xf numFmtId="165" fontId="0" fillId="0" borderId="0" xfId="0" applyNumberFormat="1"/>
    <xf numFmtId="0" fontId="0" fillId="0" borderId="1" xfId="0" pivotButton="1" applyBorder="1"/>
    <xf numFmtId="0" fontId="0" fillId="0" borderId="1" xfId="0" applyBorder="1" applyAlignment="1">
      <alignment horizontal="left"/>
    </xf>
    <xf numFmtId="10" fontId="0" fillId="0" borderId="1" xfId="0" applyNumberFormat="1" applyBorder="1"/>
    <xf numFmtId="14" fontId="0" fillId="0" borderId="1" xfId="0" applyNumberFormat="1" applyBorder="1" applyAlignment="1">
      <alignment horizontal="left"/>
    </xf>
    <xf numFmtId="49" fontId="0" fillId="0" borderId="1" xfId="0" applyNumberFormat="1" applyBorder="1" applyAlignment="1">
      <alignment horizontal="left"/>
    </xf>
    <xf numFmtId="164" fontId="0" fillId="0" borderId="1" xfId="0" applyNumberFormat="1" applyBorder="1"/>
    <xf numFmtId="17" fontId="3" fillId="0" borderId="0" xfId="0" applyNumberFormat="1" applyFont="1"/>
    <xf numFmtId="0" fontId="5" fillId="0" borderId="1" xfId="0" applyFont="1" applyBorder="1"/>
    <xf numFmtId="0" fontId="6" fillId="0" borderId="1" xfId="0" applyFont="1" applyBorder="1"/>
    <xf numFmtId="0" fontId="0" fillId="0" borderId="4" xfId="0" applyBorder="1"/>
    <xf numFmtId="0" fontId="0" fillId="0" borderId="6" xfId="0" applyBorder="1"/>
    <xf numFmtId="0" fontId="0" fillId="0" borderId="9" xfId="0"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0" fillId="2" borderId="0" xfId="0" applyFill="1"/>
    <xf numFmtId="0" fontId="10" fillId="0" borderId="0" xfId="0" applyFont="1"/>
    <xf numFmtId="0" fontId="5" fillId="0" borderId="10" xfId="0" applyFont="1" applyBorder="1"/>
    <xf numFmtId="0" fontId="5" fillId="0" borderId="11" xfId="0" applyFont="1" applyBorder="1"/>
    <xf numFmtId="0" fontId="0" fillId="0" borderId="12" xfId="0" applyBorder="1"/>
    <xf numFmtId="0" fontId="0" fillId="0" borderId="0" xfId="0" applyAlignment="1">
      <alignment horizontal="left" indent="5"/>
    </xf>
    <xf numFmtId="49" fontId="0" fillId="0" borderId="1" xfId="0" applyNumberFormat="1" applyBorder="1"/>
    <xf numFmtId="0" fontId="0" fillId="0" borderId="0" xfId="0" applyAlignment="1">
      <alignment horizontal="left" indent="4"/>
    </xf>
    <xf numFmtId="164" fontId="0" fillId="0" borderId="0" xfId="0" applyNumberFormat="1"/>
    <xf numFmtId="0" fontId="0" fillId="0" borderId="0" xfId="0" applyAlignment="1">
      <alignment horizontal="left" indent="9"/>
    </xf>
    <xf numFmtId="0" fontId="2" fillId="0" borderId="9" xfId="0" applyFont="1" applyBorder="1"/>
    <xf numFmtId="0" fontId="2" fillId="4" borderId="0" xfId="0" applyFont="1" applyFill="1"/>
    <xf numFmtId="0" fontId="11" fillId="0" borderId="0" xfId="0" applyFont="1"/>
    <xf numFmtId="0" fontId="5" fillId="0" borderId="0" xfId="0" applyFont="1"/>
    <xf numFmtId="0" fontId="0" fillId="4" borderId="0" xfId="0" applyFill="1"/>
    <xf numFmtId="165" fontId="0" fillId="5" borderId="0" xfId="0" applyNumberFormat="1" applyFill="1"/>
    <xf numFmtId="166" fontId="0" fillId="4" borderId="0" xfId="1" applyNumberFormat="1" applyFont="1" applyFill="1"/>
  </cellXfs>
  <cellStyles count="3">
    <cellStyle name="Comma" xfId="1" builtinId="3"/>
    <cellStyle name="Normal" xfId="0" builtinId="0"/>
    <cellStyle name="Percent" xfId="2" builtinId="5"/>
  </cellStyles>
  <dxfs count="2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dxf>
    <dxf>
      <numFmt numFmtId="30" formatCode="@"/>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dxf>
  </dxfs>
  <tableStyles count="0" defaultTableStyle="TableStyleMedium2" defaultPivotStyle="PivotStyleLight16"/>
  <colors>
    <mruColors>
      <color rgb="FFF9ADF9"/>
      <color rgb="FFED3FD4"/>
      <color rgb="FFA4ECF6"/>
      <color rgb="FFBBF6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3" Type="http://schemas.microsoft.com/office/2011/relationships/chartColorStyle" Target="colors5.xml"/><Relationship Id="rId2" Type="http://schemas.microsoft.com/office/2011/relationships/chartStyle" Target="style5.xml"/><Relationship Id="rId1" Type="http://schemas.openxmlformats.org/officeDocument/2006/relationships/image" Target="../media/image1.jpeg"/></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Distribution of CPI into different categories </a:t>
            </a:r>
          </a:p>
        </c:rich>
      </c:tx>
      <c:layout>
        <c:manualLayout>
          <c:xMode val="edge"/>
          <c:yMode val="edge"/>
          <c:x val="8.3435239256085661E-2"/>
          <c:y val="3.068187435926501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251165662857955E-2"/>
          <c:y val="0.28811257124033662"/>
          <c:w val="0.43948554068255741"/>
          <c:h val="0.65861237128608274"/>
        </c:manualLayout>
      </c:layout>
      <c:pieChart>
        <c:varyColors val="1"/>
        <c:ser>
          <c:idx val="0"/>
          <c:order val="0"/>
          <c:explosion val="3"/>
          <c:dPt>
            <c:idx val="0"/>
            <c:bubble3D val="0"/>
            <c:spPr>
              <a:solidFill>
                <a:srgbClr val="FFCCFF"/>
              </a:solidFill>
              <a:ln w="19050">
                <a:solidFill>
                  <a:schemeClr val="lt1"/>
                </a:solidFill>
              </a:ln>
              <a:effectLst/>
            </c:spPr>
            <c:extLst>
              <c:ext xmlns:c16="http://schemas.microsoft.com/office/drawing/2014/chart" uri="{C3380CC4-5D6E-409C-BE32-E72D297353CC}">
                <c16:uniqueId val="{00000001-0CD9-40A4-9E3A-55E8DEAE8C3E}"/>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0CD9-40A4-9E3A-55E8DEAE8C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D9-40A4-9E3A-55E8DEAE8C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D9-40A4-9E3A-55E8DEAE8C3E}"/>
              </c:ext>
            </c:extLst>
          </c:dPt>
          <c:dPt>
            <c:idx val="4"/>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9-0CD9-40A4-9E3A-55E8DEAE8C3E}"/>
              </c:ext>
            </c:extLst>
          </c:dPt>
          <c:dPt>
            <c:idx val="5"/>
            <c:bubble3D val="0"/>
            <c:spPr>
              <a:solidFill>
                <a:srgbClr val="FFFF99"/>
              </a:solidFill>
              <a:ln w="19050">
                <a:solidFill>
                  <a:schemeClr val="lt1"/>
                </a:solidFill>
              </a:ln>
              <a:effectLst/>
            </c:spPr>
            <c:extLst>
              <c:ext xmlns:c16="http://schemas.microsoft.com/office/drawing/2014/chart" uri="{C3380CC4-5D6E-409C-BE32-E72D297353CC}">
                <c16:uniqueId val="{0000000B-0CD9-40A4-9E3A-55E8DEAE8C3E}"/>
              </c:ext>
            </c:extLst>
          </c:dPt>
          <c:dPt>
            <c:idx val="6"/>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D-0CD9-40A4-9E3A-55E8DEAE8C3E}"/>
              </c:ext>
            </c:extLst>
          </c:dPt>
          <c:dLbls>
            <c:dLbl>
              <c:idx val="0"/>
              <c:tx>
                <c:rich>
                  <a:bodyPr/>
                  <a:lstStyle/>
                  <a:p>
                    <a:fld id="{D678E29E-7B0C-4036-90C7-0A413DAC0138}" type="VALUE">
                      <a:rPr lang="en-US"/>
                      <a:pPr/>
                      <a:t>[VALUE]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CD9-40A4-9E3A-55E8DEAE8C3E}"/>
                </c:ext>
              </c:extLst>
            </c:dLbl>
            <c:dLbl>
              <c:idx val="1"/>
              <c:tx>
                <c:rich>
                  <a:bodyPr/>
                  <a:lstStyle/>
                  <a:p>
                    <a:fld id="{D514753E-AFA5-4262-B788-35D0F3B11BB8}" type="VALUE">
                      <a:rPr lang="en-US"/>
                      <a:pPr/>
                      <a:t>[VALUE]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CD9-40A4-9E3A-55E8DEAE8C3E}"/>
                </c:ext>
              </c:extLst>
            </c:dLbl>
            <c:dLbl>
              <c:idx val="2"/>
              <c:tx>
                <c:rich>
                  <a:bodyPr/>
                  <a:lstStyle/>
                  <a:p>
                    <a:fld id="{0A0235DB-FA4E-4FA4-83A6-F75FF0B9F50E}" type="VALUE">
                      <a:rPr lang="en-US"/>
                      <a:pPr/>
                      <a:t>[VALUE]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CD9-40A4-9E3A-55E8DEAE8C3E}"/>
                </c:ext>
              </c:extLst>
            </c:dLbl>
            <c:dLbl>
              <c:idx val="3"/>
              <c:tx>
                <c:rich>
                  <a:bodyPr/>
                  <a:lstStyle/>
                  <a:p>
                    <a:fld id="{003FADDF-F2C9-4DAF-87E6-051AE031429F}" type="VALUE">
                      <a:rPr lang="en-US"/>
                      <a:pPr/>
                      <a:t>[VALUE]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0CD9-40A4-9E3A-55E8DEAE8C3E}"/>
                </c:ext>
              </c:extLst>
            </c:dLbl>
            <c:dLbl>
              <c:idx val="4"/>
              <c:tx>
                <c:rich>
                  <a:bodyPr/>
                  <a:lstStyle/>
                  <a:p>
                    <a:fld id="{0A1F28F8-A1C2-4E92-AEE9-5A309670EA77}" type="VALUE">
                      <a:rPr lang="en-US"/>
                      <a:pPr/>
                      <a:t>[VALUE]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0CD9-40A4-9E3A-55E8DEAE8C3E}"/>
                </c:ext>
              </c:extLst>
            </c:dLbl>
            <c:dLbl>
              <c:idx val="5"/>
              <c:tx>
                <c:rich>
                  <a:bodyPr/>
                  <a:lstStyle/>
                  <a:p>
                    <a:fld id="{D52D46E1-8F5D-45C8-9F05-4AF14C537416}" type="VALUE">
                      <a:rPr lang="en-US"/>
                      <a:pPr/>
                      <a:t>[VALUE]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0CD9-40A4-9E3A-55E8DEAE8C3E}"/>
                </c:ext>
              </c:extLst>
            </c:dLbl>
            <c:dLbl>
              <c:idx val="6"/>
              <c:tx>
                <c:rich>
                  <a:bodyPr/>
                  <a:lstStyle/>
                  <a:p>
                    <a:fld id="{3CF2546F-7BC2-4D52-BFE8-993B01316F77}" type="VALUE">
                      <a:rPr lang="en-US"/>
                      <a:pPr/>
                      <a:t>[VALUE]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0CD9-40A4-9E3A-55E8DEAE8C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'[1]1.contribution'!$AM$5:$AM$11</c:f>
              <c:strCache>
                <c:ptCount val="7"/>
                <c:pt idx="0">
                  <c:v>Essential food</c:v>
                </c:pt>
                <c:pt idx="1">
                  <c:v>Food &amp; beverages</c:v>
                </c:pt>
                <c:pt idx="2">
                  <c:v>Personal items</c:v>
                </c:pt>
                <c:pt idx="3">
                  <c:v>Home services</c:v>
                </c:pt>
                <c:pt idx="4">
                  <c:v>Essential services</c:v>
                </c:pt>
                <c:pt idx="5">
                  <c:v>Intoxicants</c:v>
                </c:pt>
                <c:pt idx="6">
                  <c:v>Healthcare</c:v>
                </c:pt>
              </c:strCache>
            </c:strRef>
          </c:cat>
          <c:val>
            <c:numRef>
              <c:f>'[1]1.contribution'!$AP$5:$AP$11</c:f>
              <c:numCache>
                <c:formatCode>General</c:formatCode>
                <c:ptCount val="7"/>
                <c:pt idx="0">
                  <c:v>0.35487368261812313</c:v>
                </c:pt>
                <c:pt idx="1">
                  <c:v>0.22676617417175129</c:v>
                </c:pt>
                <c:pt idx="2">
                  <c:v>0.23047249256215022</c:v>
                </c:pt>
                <c:pt idx="3">
                  <c:v>0.18135747062679641</c:v>
                </c:pt>
                <c:pt idx="4">
                  <c:v>0.12936816096011297</c:v>
                </c:pt>
                <c:pt idx="5">
                  <c:v>5.0678231052392719E-2</c:v>
                </c:pt>
                <c:pt idx="6">
                  <c:v>0.18135747062679641</c:v>
                </c:pt>
              </c:numCache>
            </c:numRef>
          </c:val>
          <c:extLst>
            <c:ext xmlns:c16="http://schemas.microsoft.com/office/drawing/2014/chart" uri="{C3380CC4-5D6E-409C-BE32-E72D297353CC}">
              <c16:uniqueId val="{0000000E-0CD9-40A4-9E3A-55E8DEAE8C3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8880057824137955"/>
          <c:y val="0.3389863956000399"/>
          <c:w val="0.27121245626808471"/>
          <c:h val="0.4484406190533412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b="1"/>
              <a:t>Distribution of CPI into different categories </a:t>
            </a:r>
          </a:p>
          <a:p>
            <a:pPr>
              <a:defRPr/>
            </a:pPr>
            <a:endParaRPr lang="en-US" b="1"/>
          </a:p>
        </c:rich>
      </c:tx>
      <c:layout>
        <c:manualLayout>
          <c:xMode val="edge"/>
          <c:yMode val="edge"/>
          <c:x val="9.8197393962641377E-2"/>
          <c:y val="9.1997428892817072E-4"/>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8.3399007334565442E-2"/>
          <c:y val="0.25112352027425144"/>
          <c:w val="0.51981206065075214"/>
          <c:h val="0.62830871432589908"/>
        </c:manualLayout>
      </c:layout>
      <c:pieChart>
        <c:varyColors val="1"/>
        <c:ser>
          <c:idx val="1"/>
          <c:order val="0"/>
          <c:dPt>
            <c:idx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1-31AF-4E96-9C5E-A7D197E3C142}"/>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31AF-4E96-9C5E-A7D197E3C142}"/>
              </c:ext>
            </c:extLst>
          </c:dPt>
          <c:dPt>
            <c:idx val="2"/>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5-31AF-4E96-9C5E-A7D197E3C142}"/>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31AF-4E96-9C5E-A7D197E3C142}"/>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31AF-4E96-9C5E-A7D197E3C142}"/>
              </c:ext>
            </c:extLst>
          </c:dPt>
          <c:dPt>
            <c:idx val="5"/>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B-31AF-4E96-9C5E-A7D197E3C142}"/>
              </c:ext>
            </c:extLst>
          </c:dPt>
          <c:dPt>
            <c:idx val="6"/>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D-31AF-4E96-9C5E-A7D197E3C1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'[1]1.contribution'!$AT$5:$AT$11</c:f>
              <c:strCache>
                <c:ptCount val="7"/>
                <c:pt idx="0">
                  <c:v>Essential food</c:v>
                </c:pt>
                <c:pt idx="1">
                  <c:v>Food &amp; beverages</c:v>
                </c:pt>
                <c:pt idx="2">
                  <c:v>Personal items</c:v>
                </c:pt>
                <c:pt idx="3">
                  <c:v>Home services</c:v>
                </c:pt>
                <c:pt idx="4">
                  <c:v>Essential services</c:v>
                </c:pt>
                <c:pt idx="5">
                  <c:v>Intoxicants</c:v>
                </c:pt>
                <c:pt idx="6">
                  <c:v>Healthcare</c:v>
                </c:pt>
              </c:strCache>
            </c:strRef>
          </c:cat>
          <c:val>
            <c:numRef>
              <c:f>'[1]1.contribution'!$AW$5:$AW$11</c:f>
              <c:numCache>
                <c:formatCode>General</c:formatCode>
                <c:ptCount val="7"/>
                <c:pt idx="0">
                  <c:v>0.26192381413179</c:v>
                </c:pt>
                <c:pt idx="1">
                  <c:v>0.16737071291661237</c:v>
                </c:pt>
                <c:pt idx="2">
                  <c:v>0.1701062582578112</c:v>
                </c:pt>
                <c:pt idx="3">
                  <c:v>0.13385563019893182</c:v>
                </c:pt>
                <c:pt idx="4">
                  <c:v>9.5483558814224823E-2</c:v>
                </c:pt>
                <c:pt idx="5">
                  <c:v>3.7404395481697897E-2</c:v>
                </c:pt>
                <c:pt idx="6">
                  <c:v>0.13385563019893182</c:v>
                </c:pt>
              </c:numCache>
            </c:numRef>
          </c:val>
          <c:extLst>
            <c:ext xmlns:c16="http://schemas.microsoft.com/office/drawing/2014/chart" uri="{C3380CC4-5D6E-409C-BE32-E72D297353CC}">
              <c16:uniqueId val="{0000000E-31AF-4E96-9C5E-A7D197E3C142}"/>
            </c:ext>
          </c:extLst>
        </c:ser>
        <c:ser>
          <c:idx val="0"/>
          <c:order val="1"/>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10-31AF-4E96-9C5E-A7D197E3C142}"/>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12-31AF-4E96-9C5E-A7D197E3C142}"/>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14-31AF-4E96-9C5E-A7D197E3C142}"/>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16-31AF-4E96-9C5E-A7D197E3C142}"/>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18-31AF-4E96-9C5E-A7D197E3C142}"/>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1A-31AF-4E96-9C5E-A7D197E3C142}"/>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1C-31AF-4E96-9C5E-A7D197E3C142}"/>
              </c:ext>
            </c:extLst>
          </c:dPt>
          <c:dLbls>
            <c:dLbl>
              <c:idx val="0"/>
              <c:tx>
                <c:rich>
                  <a:bodyPr/>
                  <a:lstStyle/>
                  <a:p>
                    <a:fld id="{D678E29E-7B0C-4036-90C7-0A413DAC0138}" type="VALUE">
                      <a:rPr lang="en-US"/>
                      <a:pPr/>
                      <a:t>[VALUE]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31AF-4E96-9C5E-A7D197E3C142}"/>
                </c:ext>
              </c:extLst>
            </c:dLbl>
            <c:dLbl>
              <c:idx val="1"/>
              <c:tx>
                <c:rich>
                  <a:bodyPr/>
                  <a:lstStyle/>
                  <a:p>
                    <a:fld id="{D514753E-AFA5-4262-B788-35D0F3B11BB8}" type="VALUE">
                      <a:rPr lang="en-US"/>
                      <a:pPr/>
                      <a:t>[VALUE]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2-31AF-4E96-9C5E-A7D197E3C142}"/>
                </c:ext>
              </c:extLst>
            </c:dLbl>
            <c:dLbl>
              <c:idx val="2"/>
              <c:tx>
                <c:rich>
                  <a:bodyPr/>
                  <a:lstStyle/>
                  <a:p>
                    <a:fld id="{0A0235DB-FA4E-4FA4-83A6-F75FF0B9F50E}" type="VALUE">
                      <a:rPr lang="en-US"/>
                      <a:pPr/>
                      <a:t>[VALUE]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4-31AF-4E96-9C5E-A7D197E3C142}"/>
                </c:ext>
              </c:extLst>
            </c:dLbl>
            <c:dLbl>
              <c:idx val="3"/>
              <c:tx>
                <c:rich>
                  <a:bodyPr/>
                  <a:lstStyle/>
                  <a:p>
                    <a:fld id="{003FADDF-F2C9-4DAF-87E6-051AE031429F}" type="VALUE">
                      <a:rPr lang="en-US"/>
                      <a:pPr/>
                      <a:t>[VALUE]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6-31AF-4E96-9C5E-A7D197E3C142}"/>
                </c:ext>
              </c:extLst>
            </c:dLbl>
            <c:dLbl>
              <c:idx val="4"/>
              <c:tx>
                <c:rich>
                  <a:bodyPr/>
                  <a:lstStyle/>
                  <a:p>
                    <a:fld id="{0A1F28F8-A1C2-4E92-AEE9-5A309670EA77}" type="VALUE">
                      <a:rPr lang="en-US"/>
                      <a:pPr/>
                      <a:t>[VALUE]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8-31AF-4E96-9C5E-A7D197E3C142}"/>
                </c:ext>
              </c:extLst>
            </c:dLbl>
            <c:dLbl>
              <c:idx val="5"/>
              <c:tx>
                <c:rich>
                  <a:bodyPr/>
                  <a:lstStyle/>
                  <a:p>
                    <a:fld id="{D52D46E1-8F5D-45C8-9F05-4AF14C537416}" type="VALUE">
                      <a:rPr lang="en-US"/>
                      <a:pPr/>
                      <a:t>[VALUE]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A-31AF-4E96-9C5E-A7D197E3C142}"/>
                </c:ext>
              </c:extLst>
            </c:dLbl>
            <c:dLbl>
              <c:idx val="6"/>
              <c:tx>
                <c:rich>
                  <a:bodyPr/>
                  <a:lstStyle/>
                  <a:p>
                    <a:fld id="{3CF2546F-7BC2-4D52-BFE8-993B01316F77}" type="VALUE">
                      <a:rPr lang="en-US"/>
                      <a:pPr/>
                      <a:t>[VALUE]</a:t>
                    </a:fld>
                    <a:endParaRPr lang="en-IN"/>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C-31AF-4E96-9C5E-A7D197E3C1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'[1]1.contribution'!$AM$5:$AM$11</c:f>
              <c:strCache>
                <c:ptCount val="7"/>
                <c:pt idx="0">
                  <c:v>Essential food</c:v>
                </c:pt>
                <c:pt idx="1">
                  <c:v>Food &amp; beverages</c:v>
                </c:pt>
                <c:pt idx="2">
                  <c:v>Personal items</c:v>
                </c:pt>
                <c:pt idx="3">
                  <c:v>Home services</c:v>
                </c:pt>
                <c:pt idx="4">
                  <c:v>Essential services</c:v>
                </c:pt>
                <c:pt idx="5">
                  <c:v>Intoxicants</c:v>
                </c:pt>
                <c:pt idx="6">
                  <c:v>Healthcare</c:v>
                </c:pt>
              </c:strCache>
            </c:strRef>
          </c:cat>
          <c:val>
            <c:numRef>
              <c:f>'[1]1.contribution'!$AP$5:$AP$11</c:f>
              <c:numCache>
                <c:formatCode>General</c:formatCode>
                <c:ptCount val="7"/>
                <c:pt idx="0">
                  <c:v>0.35487368261812313</c:v>
                </c:pt>
                <c:pt idx="1">
                  <c:v>0.22676617417175129</c:v>
                </c:pt>
                <c:pt idx="2">
                  <c:v>0.23047249256215022</c:v>
                </c:pt>
                <c:pt idx="3">
                  <c:v>0.18135747062679641</c:v>
                </c:pt>
                <c:pt idx="4">
                  <c:v>0.12936816096011297</c:v>
                </c:pt>
                <c:pt idx="5">
                  <c:v>5.0678231052392719E-2</c:v>
                </c:pt>
                <c:pt idx="6">
                  <c:v>0.18135747062679641</c:v>
                </c:pt>
              </c:numCache>
            </c:numRef>
          </c:val>
          <c:extLst>
            <c:ext xmlns:c16="http://schemas.microsoft.com/office/drawing/2014/chart" uri="{C3380CC4-5D6E-409C-BE32-E72D297353CC}">
              <c16:uniqueId val="{0000001D-31AF-4E96-9C5E-A7D197E3C14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3421882809684882"/>
          <c:y val="0.27777230971128608"/>
          <c:w val="0.23882693447710712"/>
          <c:h val="0.59152137232845892"/>
        </c:manualLayout>
      </c:layout>
      <c:overlay val="0"/>
      <c:spPr>
        <a:solidFill>
          <a:schemeClr val="lt1">
            <a:alpha val="50000"/>
          </a:schemeClr>
        </a:solid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Inflation</a:t>
            </a:r>
            <a:r>
              <a:rPr lang="en-IN" b="1" baseline="0"/>
              <a:t> rate in different Year</a:t>
            </a:r>
            <a:endParaRPr lang="en-IN" b="1"/>
          </a:p>
        </c:rich>
      </c:tx>
      <c:layout>
        <c:manualLayout>
          <c:xMode val="edge"/>
          <c:yMode val="edge"/>
          <c:x val="0.29810058855002675"/>
          <c:y val="4.871259568545580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0347358265610059"/>
          <c:y val="0.16438701185674726"/>
          <c:w val="0.84805353529282124"/>
          <c:h val="0.68103030701538092"/>
        </c:manualLayout>
      </c:layout>
      <c:lineChart>
        <c:grouping val="standard"/>
        <c:varyColors val="0"/>
        <c:ser>
          <c:idx val="0"/>
          <c:order val="0"/>
          <c:spPr>
            <a:ln w="28575" cap="rnd">
              <a:solidFill>
                <a:schemeClr val="bg1">
                  <a:lumMod val="85000"/>
                </a:schemeClr>
              </a:solidFill>
              <a:round/>
            </a:ln>
            <a:effectLst/>
          </c:spPr>
          <c:marker>
            <c:symbol val="none"/>
          </c:marker>
          <c:dPt>
            <c:idx val="2"/>
            <c:marker>
              <c:symbol val="none"/>
            </c:marker>
            <c:bubble3D val="0"/>
            <c:spPr>
              <a:ln w="28575" cap="rnd">
                <a:solidFill>
                  <a:schemeClr val="accent1"/>
                </a:solidFill>
                <a:prstDash val="solid"/>
                <a:round/>
              </a:ln>
              <a:effectLst/>
            </c:spPr>
            <c:extLst>
              <c:ext xmlns:c16="http://schemas.microsoft.com/office/drawing/2014/chart" uri="{C3380CC4-5D6E-409C-BE32-E72D297353CC}">
                <c16:uniqueId val="{00000001-5792-4DD6-BC9D-87EB0F605FB9}"/>
              </c:ext>
            </c:extLst>
          </c:dPt>
          <c:dPt>
            <c:idx val="3"/>
            <c:marker>
              <c:symbol val="none"/>
            </c:marker>
            <c:bubble3D val="0"/>
            <c:spPr>
              <a:ln w="28575" cap="rnd">
                <a:solidFill>
                  <a:schemeClr val="accent1"/>
                </a:solidFill>
                <a:prstDash val="solid"/>
                <a:round/>
              </a:ln>
              <a:effectLst/>
            </c:spPr>
            <c:extLst>
              <c:ext xmlns:c16="http://schemas.microsoft.com/office/drawing/2014/chart" uri="{C3380CC4-5D6E-409C-BE32-E72D297353CC}">
                <c16:uniqueId val="{00000003-5792-4DD6-BC9D-87EB0F605FB9}"/>
              </c:ext>
            </c:extLst>
          </c:dPt>
          <c:cat>
            <c:numRef>
              <c:f>[1]notes!$N$8:$N$13</c:f>
              <c:numCache>
                <c:formatCode>General</c:formatCode>
                <c:ptCount val="6"/>
                <c:pt idx="0">
                  <c:v>2017</c:v>
                </c:pt>
                <c:pt idx="1">
                  <c:v>2018</c:v>
                </c:pt>
                <c:pt idx="2">
                  <c:v>2019</c:v>
                </c:pt>
                <c:pt idx="3">
                  <c:v>2020</c:v>
                </c:pt>
                <c:pt idx="4">
                  <c:v>2021</c:v>
                </c:pt>
                <c:pt idx="5">
                  <c:v>2022</c:v>
                </c:pt>
              </c:numCache>
            </c:numRef>
          </c:cat>
          <c:val>
            <c:numRef>
              <c:f>[1]notes!$M$8:$M$13</c:f>
              <c:numCache>
                <c:formatCode>General</c:formatCode>
                <c:ptCount val="6"/>
                <c:pt idx="0">
                  <c:v>5.2954719877206298</c:v>
                </c:pt>
                <c:pt idx="1">
                  <c:v>2.3374726077428698</c:v>
                </c:pt>
                <c:pt idx="2">
                  <c:v>7.7363896848137621</c:v>
                </c:pt>
                <c:pt idx="3">
                  <c:v>5.7922769640479483</c:v>
                </c:pt>
                <c:pt idx="4">
                  <c:v>5.6579783852510976</c:v>
                </c:pt>
                <c:pt idx="5">
                  <c:v>6.0350030175015092</c:v>
                </c:pt>
              </c:numCache>
            </c:numRef>
          </c:val>
          <c:smooth val="0"/>
          <c:extLst>
            <c:ext xmlns:c16="http://schemas.microsoft.com/office/drawing/2014/chart" uri="{C3380CC4-5D6E-409C-BE32-E72D297353CC}">
              <c16:uniqueId val="{00000004-5792-4DD6-BC9D-87EB0F605FB9}"/>
            </c:ext>
          </c:extLst>
        </c:ser>
        <c:dLbls>
          <c:showLegendKey val="0"/>
          <c:showVal val="0"/>
          <c:showCatName val="0"/>
          <c:showSerName val="0"/>
          <c:showPercent val="0"/>
          <c:showBubbleSize val="0"/>
        </c:dLbls>
        <c:smooth val="0"/>
        <c:axId val="947930736"/>
        <c:axId val="947932176"/>
      </c:lineChart>
      <c:catAx>
        <c:axId val="94793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7932176"/>
        <c:crosses val="autoZero"/>
        <c:auto val="0"/>
        <c:lblAlgn val="ctr"/>
        <c:lblOffset val="100"/>
        <c:noMultiLvlLbl val="0"/>
      </c:catAx>
      <c:valAx>
        <c:axId val="94793217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solidFill>
              <a:schemeClr val="accent1">
                <a:shade val="15000"/>
              </a:schemeClr>
            </a:solidFill>
            <a:prstDash val="sysDot"/>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930736"/>
        <c:crosses val="autoZero"/>
        <c:crossBetween val="between"/>
      </c:valAx>
      <c:spPr>
        <a:solidFill>
          <a:schemeClr val="lt1"/>
        </a:solidFill>
        <a:ln w="12700" cap="flat" cmpd="sng" algn="ctr">
          <a:solidFill>
            <a:schemeClr val="dk1"/>
          </a:solidFill>
          <a:prstDash val="solid"/>
          <a:miter lim="800000"/>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FOR</a:t>
            </a:r>
            <a:r>
              <a:rPr lang="en-IN" b="1" baseline="0"/>
              <a:t> 2019, MONTHLY INDEX VALUE OF 2 HIGHER CATEGORY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8.9740215216806182E-2"/>
          <c:y val="0.20010183080925459"/>
          <c:w val="0.8711418533067482"/>
          <c:h val="0.5162893539607466"/>
        </c:manualLayout>
      </c:layout>
      <c:lineChart>
        <c:grouping val="standard"/>
        <c:varyColors val="0"/>
        <c:ser>
          <c:idx val="0"/>
          <c:order val="0"/>
          <c:tx>
            <c:strRef>
              <c:f>'[1]2.Y_O_Y'!$D$74</c:f>
              <c:strCache>
                <c:ptCount val="1"/>
                <c:pt idx="0">
                  <c:v>Vegetables</c:v>
                </c:pt>
              </c:strCache>
            </c:strRef>
          </c:tx>
          <c:spPr>
            <a:ln w="28575" cap="rnd">
              <a:solidFill>
                <a:schemeClr val="accent1">
                  <a:lumMod val="20000"/>
                  <a:lumOff val="80000"/>
                </a:schemeClr>
              </a:solidFill>
              <a:round/>
            </a:ln>
            <a:effectLst/>
          </c:spPr>
          <c:marker>
            <c:symbol val="none"/>
          </c:marker>
          <c:dPt>
            <c:idx val="8"/>
            <c:marker>
              <c:symbol val="none"/>
            </c:marker>
            <c:bubble3D val="0"/>
            <c:spPr>
              <a:ln w="28575" cap="rnd">
                <a:solidFill>
                  <a:schemeClr val="accent1"/>
                </a:solidFill>
                <a:prstDash val="solid"/>
                <a:round/>
              </a:ln>
              <a:effectLst/>
            </c:spPr>
            <c:extLst>
              <c:ext xmlns:c16="http://schemas.microsoft.com/office/drawing/2014/chart" uri="{C3380CC4-5D6E-409C-BE32-E72D297353CC}">
                <c16:uniqueId val="{00000001-C5FA-40D7-AB49-7F44BD333808}"/>
              </c:ext>
            </c:extLst>
          </c:dPt>
          <c:dPt>
            <c:idx val="9"/>
            <c:marker>
              <c:symbol val="none"/>
            </c:marker>
            <c:bubble3D val="0"/>
            <c:spPr>
              <a:ln w="28575" cap="rnd">
                <a:solidFill>
                  <a:schemeClr val="accent1"/>
                </a:solidFill>
                <a:prstDash val="solid"/>
                <a:round/>
              </a:ln>
              <a:effectLst/>
            </c:spPr>
            <c:extLst>
              <c:ext xmlns:c16="http://schemas.microsoft.com/office/drawing/2014/chart" uri="{C3380CC4-5D6E-409C-BE32-E72D297353CC}">
                <c16:uniqueId val="{00000003-C5FA-40D7-AB49-7F44BD333808}"/>
              </c:ext>
            </c:extLst>
          </c:dPt>
          <c:dPt>
            <c:idx val="10"/>
            <c:marker>
              <c:symbol val="none"/>
            </c:marker>
            <c:bubble3D val="0"/>
            <c:spPr>
              <a:ln w="28575" cap="rnd">
                <a:solidFill>
                  <a:schemeClr val="accent1"/>
                </a:solidFill>
                <a:prstDash val="solid"/>
                <a:round/>
              </a:ln>
              <a:effectLst/>
            </c:spPr>
            <c:extLst>
              <c:ext xmlns:c16="http://schemas.microsoft.com/office/drawing/2014/chart" uri="{C3380CC4-5D6E-409C-BE32-E72D297353CC}">
                <c16:uniqueId val="{00000005-C5FA-40D7-AB49-7F44BD333808}"/>
              </c:ext>
            </c:extLst>
          </c:dPt>
          <c:dPt>
            <c:idx val="11"/>
            <c:marker>
              <c:symbol val="none"/>
            </c:marker>
            <c:bubble3D val="0"/>
            <c:spPr>
              <a:ln w="28575" cap="rnd">
                <a:solidFill>
                  <a:schemeClr val="accent1"/>
                </a:solidFill>
                <a:prstDash val="solid"/>
                <a:round/>
              </a:ln>
              <a:effectLst/>
            </c:spPr>
            <c:extLst>
              <c:ext xmlns:c16="http://schemas.microsoft.com/office/drawing/2014/chart" uri="{C3380CC4-5D6E-409C-BE32-E72D297353CC}">
                <c16:uniqueId val="{00000007-C5FA-40D7-AB49-7F44BD333808}"/>
              </c:ext>
            </c:extLst>
          </c:dPt>
          <c:cat>
            <c:strRef>
              <c:f>'[1]2.Y_O_Y'!$C$75:$C$86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'[1]2.Y_O_Y'!$D$75:$D$86</c:f>
              <c:numCache>
                <c:formatCode>General</c:formatCode>
                <c:ptCount val="12"/>
                <c:pt idx="0">
                  <c:v>131.30000000000001</c:v>
                </c:pt>
                <c:pt idx="1">
                  <c:v>129.69999999999999</c:v>
                </c:pt>
                <c:pt idx="2">
                  <c:v>132.6</c:v>
                </c:pt>
                <c:pt idx="3">
                  <c:v>132.6</c:v>
                </c:pt>
                <c:pt idx="4">
                  <c:v>143</c:v>
                </c:pt>
                <c:pt idx="5">
                  <c:v>150.5</c:v>
                </c:pt>
                <c:pt idx="6">
                  <c:v>160.30000000000001</c:v>
                </c:pt>
                <c:pt idx="7">
                  <c:v>167.4</c:v>
                </c:pt>
                <c:pt idx="8">
                  <c:v>173.2</c:v>
                </c:pt>
                <c:pt idx="9">
                  <c:v>188.4</c:v>
                </c:pt>
                <c:pt idx="10">
                  <c:v>199.6</c:v>
                </c:pt>
                <c:pt idx="11">
                  <c:v>217</c:v>
                </c:pt>
              </c:numCache>
            </c:numRef>
          </c:val>
          <c:smooth val="0"/>
          <c:extLst>
            <c:ext xmlns:c16="http://schemas.microsoft.com/office/drawing/2014/chart" uri="{C3380CC4-5D6E-409C-BE32-E72D297353CC}">
              <c16:uniqueId val="{00000008-C5FA-40D7-AB49-7F44BD333808}"/>
            </c:ext>
          </c:extLst>
        </c:ser>
        <c:ser>
          <c:idx val="1"/>
          <c:order val="1"/>
          <c:tx>
            <c:strRef>
              <c:f>'[1]2.Y_O_Y'!$E$74</c:f>
              <c:strCache>
                <c:ptCount val="1"/>
                <c:pt idx="0">
                  <c:v>Pan, tobacco and intoxicants</c:v>
                </c:pt>
              </c:strCache>
            </c:strRef>
          </c:tx>
          <c:spPr>
            <a:ln w="28575" cap="rnd">
              <a:solidFill>
                <a:schemeClr val="accent4">
                  <a:lumMod val="20000"/>
                  <a:lumOff val="80000"/>
                </a:schemeClr>
              </a:solidFill>
              <a:round/>
            </a:ln>
            <a:effectLst/>
          </c:spPr>
          <c:marker>
            <c:symbol val="none"/>
          </c:marker>
          <c:cat>
            <c:strRef>
              <c:f>'[1]2.Y_O_Y'!$C$75:$C$86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'[1]2.Y_O_Y'!$E$75:$E$86</c:f>
              <c:numCache>
                <c:formatCode>General</c:formatCode>
                <c:ptCount val="12"/>
                <c:pt idx="0">
                  <c:v>163.19999999999999</c:v>
                </c:pt>
                <c:pt idx="1">
                  <c:v>163.4</c:v>
                </c:pt>
                <c:pt idx="2">
                  <c:v>163.5</c:v>
                </c:pt>
                <c:pt idx="3">
                  <c:v>163.5</c:v>
                </c:pt>
                <c:pt idx="4">
                  <c:v>164.1</c:v>
                </c:pt>
                <c:pt idx="5">
                  <c:v>164.9</c:v>
                </c:pt>
                <c:pt idx="6">
                  <c:v>165.2</c:v>
                </c:pt>
                <c:pt idx="7">
                  <c:v>165.8</c:v>
                </c:pt>
                <c:pt idx="8">
                  <c:v>166.5</c:v>
                </c:pt>
                <c:pt idx="9">
                  <c:v>167.1</c:v>
                </c:pt>
                <c:pt idx="10">
                  <c:v>167.9</c:v>
                </c:pt>
                <c:pt idx="11">
                  <c:v>168.5</c:v>
                </c:pt>
              </c:numCache>
            </c:numRef>
          </c:val>
          <c:smooth val="0"/>
          <c:extLst>
            <c:ext xmlns:c16="http://schemas.microsoft.com/office/drawing/2014/chart" uri="{C3380CC4-5D6E-409C-BE32-E72D297353CC}">
              <c16:uniqueId val="{00000009-C5FA-40D7-AB49-7F44BD333808}"/>
            </c:ext>
          </c:extLst>
        </c:ser>
        <c:dLbls>
          <c:showLegendKey val="0"/>
          <c:showVal val="0"/>
          <c:showCatName val="0"/>
          <c:showSerName val="0"/>
          <c:showPercent val="0"/>
          <c:showBubbleSize val="0"/>
        </c:dLbls>
        <c:smooth val="0"/>
        <c:axId val="96964591"/>
        <c:axId val="96967951"/>
        <c:extLst>
          <c:ext xmlns:c15="http://schemas.microsoft.com/office/drawing/2012/chart" uri="{02D57815-91ED-43cb-92C2-25804820EDAC}">
            <c15:filteredLineSeries>
              <c15:ser>
                <c:idx val="2"/>
                <c:order val="2"/>
                <c:tx>
                  <c:strRef>
                    <c:extLst>
                      <c:ext uri="{02D57815-91ED-43cb-92C2-25804820EDAC}">
                        <c15:formulaRef>
                          <c15:sqref>'[1]2.Y_O_Y'!$F$74</c15:sqref>
                        </c15:formulaRef>
                      </c:ext>
                    </c:extLst>
                    <c:strCache>
                      <c:ptCount val="1"/>
                    </c:strCache>
                  </c:strRef>
                </c:tx>
                <c:spPr>
                  <a:ln w="28575" cap="rnd">
                    <a:solidFill>
                      <a:schemeClr val="accent3"/>
                    </a:solidFill>
                    <a:round/>
                  </a:ln>
                  <a:effectLst/>
                </c:spPr>
                <c:marker>
                  <c:symbol val="none"/>
                </c:marker>
                <c:cat>
                  <c:strRef>
                    <c:extLst>
                      <c:ext uri="{02D57815-91ED-43cb-92C2-25804820EDAC}">
                        <c15:formulaRef>
                          <c15:sqref>'[1]2.Y_O_Y'!$C$75:$C$86</c15:sqref>
                        </c15:formulaRef>
                      </c:ext>
                    </c:extLst>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extLst>
                      <c:ext uri="{02D57815-91ED-43cb-92C2-25804820EDAC}">
                        <c15:formulaRef>
                          <c15:sqref>'[1]2.Y_O_Y'!$F$75:$F$86</c15:sqref>
                        </c15:formulaRef>
                      </c:ext>
                    </c:extLst>
                    <c:numCache>
                      <c:formatCode>General</c:formatCode>
                      <c:ptCount val="12"/>
                    </c:numCache>
                  </c:numRef>
                </c:val>
                <c:smooth val="0"/>
                <c:extLst>
                  <c:ext xmlns:c16="http://schemas.microsoft.com/office/drawing/2014/chart" uri="{C3380CC4-5D6E-409C-BE32-E72D297353CC}">
                    <c16:uniqueId val="{0000000A-C5FA-40D7-AB49-7F44BD333808}"/>
                  </c:ext>
                </c:extLst>
              </c15:ser>
            </c15:filteredLineSeries>
          </c:ext>
        </c:extLst>
      </c:lineChart>
      <c:catAx>
        <c:axId val="9696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6967951"/>
        <c:crosses val="autoZero"/>
        <c:auto val="1"/>
        <c:lblAlgn val="ctr"/>
        <c:lblOffset val="100"/>
        <c:noMultiLvlLbl val="0"/>
      </c:catAx>
      <c:valAx>
        <c:axId val="9696795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64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Y-O-Y</a:t>
            </a:r>
            <a:r>
              <a:rPr lang="en-IN" b="1" baseline="0"/>
              <a:t> chnages in Infaltion for food category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7228217374467542E-2"/>
          <c:y val="0.13943615439678431"/>
          <c:w val="0.90146030721569637"/>
          <c:h val="0.76328902966076595"/>
        </c:manualLayout>
      </c:layout>
      <c:barChart>
        <c:barDir val="col"/>
        <c:grouping val="clustered"/>
        <c:varyColors val="0"/>
        <c:ser>
          <c:idx val="0"/>
          <c:order val="0"/>
          <c:tx>
            <c:strRef>
              <c:f>'[1]3.Y-O-Y'!$W$2</c:f>
              <c:strCache>
                <c:ptCount val="1"/>
                <c:pt idx="0">
                  <c:v>RURAL</c:v>
                </c:pt>
              </c:strCache>
            </c:strRef>
          </c:tx>
          <c:spPr>
            <a:solidFill>
              <a:schemeClr val="accent1"/>
            </a:solidFill>
            <a:ln>
              <a:noFill/>
            </a:ln>
            <a:effectLst/>
          </c:spPr>
          <c:invertIfNegative val="0"/>
          <c:cat>
            <c:strRef>
              <c:f>'[1]3.Y-O-Y'!$V$3:$V$15</c:f>
              <c:strCache>
                <c:ptCount val="13"/>
                <c:pt idx="0">
                  <c:v>Meat and fish</c:v>
                </c:pt>
                <c:pt idx="1">
                  <c:v>Egg</c:v>
                </c:pt>
                <c:pt idx="2">
                  <c:v>Milk and products</c:v>
                </c:pt>
                <c:pt idx="3">
                  <c:v>Oils and fats</c:v>
                </c:pt>
                <c:pt idx="4">
                  <c:v>Fruits</c:v>
                </c:pt>
                <c:pt idx="5">
                  <c:v>Vegetables</c:v>
                </c:pt>
                <c:pt idx="6">
                  <c:v>Pulses and products</c:v>
                </c:pt>
                <c:pt idx="7">
                  <c:v>Sugar and Confectionery</c:v>
                </c:pt>
                <c:pt idx="8">
                  <c:v>Spices</c:v>
                </c:pt>
                <c:pt idx="9">
                  <c:v>Non-alcoholic beverages</c:v>
                </c:pt>
                <c:pt idx="10">
                  <c:v>Prepared meals, snacks, sweets etc.</c:v>
                </c:pt>
                <c:pt idx="11">
                  <c:v>Food and beverages</c:v>
                </c:pt>
                <c:pt idx="12">
                  <c:v>Cereals and products</c:v>
                </c:pt>
              </c:strCache>
            </c:strRef>
          </c:cat>
          <c:val>
            <c:numRef>
              <c:f>'[1]3.Y-O-Y'!$W$3:$W$15</c:f>
              <c:numCache>
                <c:formatCode>General</c:formatCode>
                <c:ptCount val="13"/>
                <c:pt idx="0">
                  <c:v>-2.6243093922651899</c:v>
                </c:pt>
                <c:pt idx="1">
                  <c:v>0.82547169811321097</c:v>
                </c:pt>
                <c:pt idx="2">
                  <c:v>8.5852478839177682</c:v>
                </c:pt>
                <c:pt idx="3">
                  <c:v>-16.722729456991821</c:v>
                </c:pt>
                <c:pt idx="4">
                  <c:v>1.9300361881785213</c:v>
                </c:pt>
                <c:pt idx="5">
                  <c:v>-11.117752540346695</c:v>
                </c:pt>
                <c:pt idx="6">
                  <c:v>6.2575941676792297</c:v>
                </c:pt>
                <c:pt idx="7">
                  <c:v>2.3509655751469452</c:v>
                </c:pt>
                <c:pt idx="8">
                  <c:v>16.993118051879296</c:v>
                </c:pt>
                <c:pt idx="9">
                  <c:v>2.5832376578645238</c:v>
                </c:pt>
                <c:pt idx="10">
                  <c:v>5.0577240241891088</c:v>
                </c:pt>
                <c:pt idx="11">
                  <c:v>2.5522041763341101</c:v>
                </c:pt>
                <c:pt idx="12">
                  <c:v>12.613784135240557</c:v>
                </c:pt>
              </c:numCache>
            </c:numRef>
          </c:val>
          <c:extLst>
            <c:ext xmlns:c16="http://schemas.microsoft.com/office/drawing/2014/chart" uri="{C3380CC4-5D6E-409C-BE32-E72D297353CC}">
              <c16:uniqueId val="{00000000-5299-421D-B2BA-9DF8E56AD4BF}"/>
            </c:ext>
          </c:extLst>
        </c:ser>
        <c:ser>
          <c:idx val="1"/>
          <c:order val="1"/>
          <c:tx>
            <c:strRef>
              <c:f>'[1]3.Y-O-Y'!$X$2</c:f>
              <c:strCache>
                <c:ptCount val="1"/>
                <c:pt idx="0">
                  <c:v>URBAN</c:v>
                </c:pt>
              </c:strCache>
            </c:strRef>
          </c:tx>
          <c:spPr>
            <a:solidFill>
              <a:schemeClr val="accent2"/>
            </a:solidFill>
            <a:ln>
              <a:noFill/>
            </a:ln>
            <a:effectLst/>
          </c:spPr>
          <c:invertIfNegative val="0"/>
          <c:cat>
            <c:strRef>
              <c:f>'[1]3.Y-O-Y'!$V$3:$V$15</c:f>
              <c:strCache>
                <c:ptCount val="13"/>
                <c:pt idx="0">
                  <c:v>Meat and fish</c:v>
                </c:pt>
                <c:pt idx="1">
                  <c:v>Egg</c:v>
                </c:pt>
                <c:pt idx="2">
                  <c:v>Milk and products</c:v>
                </c:pt>
                <c:pt idx="3">
                  <c:v>Oils and fats</c:v>
                </c:pt>
                <c:pt idx="4">
                  <c:v>Fruits</c:v>
                </c:pt>
                <c:pt idx="5">
                  <c:v>Vegetables</c:v>
                </c:pt>
                <c:pt idx="6">
                  <c:v>Pulses and products</c:v>
                </c:pt>
                <c:pt idx="7">
                  <c:v>Sugar and Confectionery</c:v>
                </c:pt>
                <c:pt idx="8">
                  <c:v>Spices</c:v>
                </c:pt>
                <c:pt idx="9">
                  <c:v>Non-alcoholic beverages</c:v>
                </c:pt>
                <c:pt idx="10">
                  <c:v>Prepared meals, snacks, sweets etc.</c:v>
                </c:pt>
                <c:pt idx="11">
                  <c:v>Food and beverages</c:v>
                </c:pt>
                <c:pt idx="12">
                  <c:v>Cereals and products</c:v>
                </c:pt>
              </c:strCache>
            </c:strRef>
          </c:cat>
          <c:val>
            <c:numRef>
              <c:f>'[1]3.Y-O-Y'!$X$3:$X$15</c:f>
              <c:numCache>
                <c:formatCode>General</c:formatCode>
                <c:ptCount val="13"/>
                <c:pt idx="0">
                  <c:v>-1.7905102954341987</c:v>
                </c:pt>
                <c:pt idx="1">
                  <c:v>2.2569444444444313</c:v>
                </c:pt>
                <c:pt idx="2">
                  <c:v>7.8125</c:v>
                </c:pt>
                <c:pt idx="3">
                  <c:v>-12.831389183457045</c:v>
                </c:pt>
                <c:pt idx="4">
                  <c:v>0.97645031591040621</c:v>
                </c:pt>
                <c:pt idx="5">
                  <c:v>-12.529550827423167</c:v>
                </c:pt>
                <c:pt idx="6">
                  <c:v>8.1295843520782469</c:v>
                </c:pt>
                <c:pt idx="7">
                  <c:v>2.3064250411861593</c:v>
                </c:pt>
                <c:pt idx="8">
                  <c:v>15.476839237057224</c:v>
                </c:pt>
                <c:pt idx="9">
                  <c:v>4.2740414833438161</c:v>
                </c:pt>
                <c:pt idx="10">
                  <c:v>6.1191626409017585</c:v>
                </c:pt>
                <c:pt idx="11">
                  <c:v>2.1193530395984284</c:v>
                </c:pt>
                <c:pt idx="12">
                  <c:v>10.920634920634914</c:v>
                </c:pt>
              </c:numCache>
            </c:numRef>
          </c:val>
          <c:extLst>
            <c:ext xmlns:c16="http://schemas.microsoft.com/office/drawing/2014/chart" uri="{C3380CC4-5D6E-409C-BE32-E72D297353CC}">
              <c16:uniqueId val="{00000001-5299-421D-B2BA-9DF8E56AD4BF}"/>
            </c:ext>
          </c:extLst>
        </c:ser>
        <c:ser>
          <c:idx val="2"/>
          <c:order val="2"/>
          <c:tx>
            <c:strRef>
              <c:f>'[1]3.Y-O-Y'!$Y$2</c:f>
              <c:strCache>
                <c:ptCount val="1"/>
                <c:pt idx="0">
                  <c:v>R+U</c:v>
                </c:pt>
              </c:strCache>
            </c:strRef>
          </c:tx>
          <c:spPr>
            <a:solidFill>
              <a:schemeClr val="accent3"/>
            </a:solidFill>
            <a:ln>
              <a:noFill/>
            </a:ln>
            <a:effectLst/>
          </c:spPr>
          <c:invertIfNegative val="0"/>
          <c:cat>
            <c:strRef>
              <c:f>'[1]3.Y-O-Y'!$V$3:$V$15</c:f>
              <c:strCache>
                <c:ptCount val="13"/>
                <c:pt idx="0">
                  <c:v>Meat and fish</c:v>
                </c:pt>
                <c:pt idx="1">
                  <c:v>Egg</c:v>
                </c:pt>
                <c:pt idx="2">
                  <c:v>Milk and products</c:v>
                </c:pt>
                <c:pt idx="3">
                  <c:v>Oils and fats</c:v>
                </c:pt>
                <c:pt idx="4">
                  <c:v>Fruits</c:v>
                </c:pt>
                <c:pt idx="5">
                  <c:v>Vegetables</c:v>
                </c:pt>
                <c:pt idx="6">
                  <c:v>Pulses and products</c:v>
                </c:pt>
                <c:pt idx="7">
                  <c:v>Sugar and Confectionery</c:v>
                </c:pt>
                <c:pt idx="8">
                  <c:v>Spices</c:v>
                </c:pt>
                <c:pt idx="9">
                  <c:v>Non-alcoholic beverages</c:v>
                </c:pt>
                <c:pt idx="10">
                  <c:v>Prepared meals, snacks, sweets etc.</c:v>
                </c:pt>
                <c:pt idx="11">
                  <c:v>Food and beverages</c:v>
                </c:pt>
                <c:pt idx="12">
                  <c:v>Cereals and products</c:v>
                </c:pt>
              </c:strCache>
            </c:strRef>
          </c:cat>
          <c:val>
            <c:numRef>
              <c:f>'[1]3.Y-O-Y'!$Y$3:$Y$15</c:f>
              <c:numCache>
                <c:formatCode>General</c:formatCode>
                <c:ptCount val="13"/>
                <c:pt idx="0">
                  <c:v>-2.3245214220601613</c:v>
                </c:pt>
                <c:pt idx="1">
                  <c:v>1.4051522248243427</c:v>
                </c:pt>
                <c:pt idx="2">
                  <c:v>8.2629674306393177</c:v>
                </c:pt>
                <c:pt idx="3">
                  <c:v>-15.380786460925835</c:v>
                </c:pt>
                <c:pt idx="4">
                  <c:v>1.4731879787860933</c:v>
                </c:pt>
                <c:pt idx="5">
                  <c:v>-11.684037301151953</c:v>
                </c:pt>
                <c:pt idx="6">
                  <c:v>6.8776628119293877</c:v>
                </c:pt>
                <c:pt idx="7">
                  <c:v>2.3352793994995804</c:v>
                </c:pt>
                <c:pt idx="8">
                  <c:v>16.515232495991452</c:v>
                </c:pt>
                <c:pt idx="9">
                  <c:v>3.2757593805836809</c:v>
                </c:pt>
                <c:pt idx="10">
                  <c:v>5.6008700380641558</c:v>
                </c:pt>
                <c:pt idx="11">
                  <c:v>2.4013722126929609</c:v>
                </c:pt>
                <c:pt idx="12">
                  <c:v>12.064516129032251</c:v>
                </c:pt>
              </c:numCache>
            </c:numRef>
          </c:val>
          <c:extLst>
            <c:ext xmlns:c16="http://schemas.microsoft.com/office/drawing/2014/chart" uri="{C3380CC4-5D6E-409C-BE32-E72D297353CC}">
              <c16:uniqueId val="{00000002-5299-421D-B2BA-9DF8E56AD4BF}"/>
            </c:ext>
          </c:extLst>
        </c:ser>
        <c:dLbls>
          <c:showLegendKey val="0"/>
          <c:showVal val="0"/>
          <c:showCatName val="0"/>
          <c:showSerName val="0"/>
          <c:showPercent val="0"/>
          <c:showBubbleSize val="0"/>
        </c:dLbls>
        <c:gapWidth val="219"/>
        <c:overlap val="-27"/>
        <c:axId val="859231247"/>
        <c:axId val="859239407"/>
      </c:barChart>
      <c:catAx>
        <c:axId val="85923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9239407"/>
        <c:crosses val="autoZero"/>
        <c:auto val="1"/>
        <c:lblAlgn val="ctr"/>
        <c:lblOffset val="100"/>
        <c:noMultiLvlLbl val="0"/>
      </c:catAx>
      <c:valAx>
        <c:axId val="85923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231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COVID</a:t>
            </a:r>
            <a:r>
              <a:rPr lang="en-IN" b="1" baseline="0"/>
              <a:t>-19's Impact on Healthcare services </a:t>
            </a:r>
            <a:endParaRPr lang="en-IN" b="1"/>
          </a:p>
        </c:rich>
      </c:tx>
      <c:layout>
        <c:manualLayout>
          <c:xMode val="edge"/>
          <c:yMode val="edge"/>
          <c:x val="0.24560350629248268"/>
          <c:y val="2.072968490878938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25250689817619"/>
          <c:y val="0.14894461089113384"/>
          <c:w val="0.73694764116023959"/>
          <c:h val="0.76368159203980102"/>
        </c:manualLayout>
      </c:layout>
      <c:lineChart>
        <c:grouping val="standard"/>
        <c:varyColors val="0"/>
        <c:ser>
          <c:idx val="1"/>
          <c:order val="1"/>
          <c:tx>
            <c:v>Sum of urban</c:v>
          </c:tx>
          <c:spPr>
            <a:ln w="28575" cap="rnd">
              <a:solidFill>
                <a:schemeClr val="accent1">
                  <a:lumMod val="40000"/>
                  <a:lumOff val="60000"/>
                </a:schemeClr>
              </a:solidFill>
              <a:prstDash val="solid"/>
              <a:round/>
            </a:ln>
            <a:effectLst/>
          </c:spPr>
          <c:marker>
            <c:symbol val="none"/>
          </c:marker>
          <c:cat>
            <c:strLit>
              <c:ptCount val="7"/>
              <c:pt idx="0">
                <c:v>2017-2018</c:v>
              </c:pt>
              <c:pt idx="1">
                <c:v>2018-2019</c:v>
              </c:pt>
              <c:pt idx="2">
                <c:v>2019-2020</c:v>
              </c:pt>
              <c:pt idx="3">
                <c:v>mar-20</c:v>
              </c:pt>
              <c:pt idx="4">
                <c:v>2020-2021</c:v>
              </c:pt>
              <c:pt idx="5">
                <c:v>2021-2022</c:v>
              </c:pt>
              <c:pt idx="6">
                <c:v>2022-2023</c:v>
              </c:pt>
            </c:strLit>
          </c:cat>
          <c:val>
            <c:numLit>
              <c:formatCode>General</c:formatCode>
              <c:ptCount val="7"/>
              <c:pt idx="0">
                <c:v>0.18254442323657158</c:v>
              </c:pt>
              <c:pt idx="1">
                <c:v>0.19089200780537399</c:v>
              </c:pt>
              <c:pt idx="2">
                <c:v>-2.604109573309887E-2</c:v>
              </c:pt>
              <c:pt idx="3">
                <c:v>0</c:v>
              </c:pt>
              <c:pt idx="4">
                <c:v>0.21554035819638212</c:v>
              </c:pt>
              <c:pt idx="5">
                <c:v>0.21554035819638212</c:v>
              </c:pt>
              <c:pt idx="6">
                <c:v>0.22152394829838909</c:v>
              </c:pt>
            </c:numLit>
          </c:val>
          <c:smooth val="0"/>
          <c:extLst>
            <c:ext xmlns:c16="http://schemas.microsoft.com/office/drawing/2014/chart" uri="{C3380CC4-5D6E-409C-BE32-E72D297353CC}">
              <c16:uniqueId val="{00000000-AA2D-4255-AC5C-DA3F4DF90002}"/>
            </c:ext>
          </c:extLst>
        </c:ser>
        <c:dLbls>
          <c:showLegendKey val="0"/>
          <c:showVal val="0"/>
          <c:showCatName val="0"/>
          <c:showSerName val="0"/>
          <c:showPercent val="0"/>
          <c:showBubbleSize val="0"/>
        </c:dLbls>
        <c:marker val="1"/>
        <c:smooth val="0"/>
        <c:axId val="1929744431"/>
        <c:axId val="1929707471"/>
      </c:lineChart>
      <c:lineChart>
        <c:grouping val="standard"/>
        <c:varyColors val="0"/>
        <c:ser>
          <c:idx val="0"/>
          <c:order val="0"/>
          <c:tx>
            <c:v>Sum of rural</c:v>
          </c:tx>
          <c:spPr>
            <a:ln w="28575" cap="rnd">
              <a:solidFill>
                <a:schemeClr val="accent2">
                  <a:lumMod val="40000"/>
                  <a:lumOff val="60000"/>
                </a:schemeClr>
              </a:solidFill>
              <a:prstDash val="solid"/>
              <a:round/>
            </a:ln>
            <a:effectLst/>
          </c:spPr>
          <c:marker>
            <c:symbol val="none"/>
          </c:marker>
          <c:cat>
            <c:strLit>
              <c:ptCount val="7"/>
              <c:pt idx="0">
                <c:v>2017-2018</c:v>
              </c:pt>
              <c:pt idx="1">
                <c:v>2018-2019</c:v>
              </c:pt>
              <c:pt idx="2">
                <c:v>2019-2020</c:v>
              </c:pt>
              <c:pt idx="3">
                <c:v>mar-20</c:v>
              </c:pt>
              <c:pt idx="4">
                <c:v>2020-2021</c:v>
              </c:pt>
              <c:pt idx="5">
                <c:v>2021-2022</c:v>
              </c:pt>
              <c:pt idx="6">
                <c:v>2022-2023</c:v>
              </c:pt>
            </c:strLit>
          </c:cat>
          <c:val>
            <c:numLit>
              <c:formatCode>General</c:formatCode>
              <c:ptCount val="7"/>
              <c:pt idx="0">
                <c:v>0.11041405388590879</c:v>
              </c:pt>
              <c:pt idx="1">
                <c:v>0.23605452564755761</c:v>
              </c:pt>
              <c:pt idx="2">
                <c:v>0.18224797936024656</c:v>
              </c:pt>
              <c:pt idx="3">
                <c:v>0</c:v>
              </c:pt>
              <c:pt idx="4">
                <c:v>0.16939168731254536</c:v>
              </c:pt>
              <c:pt idx="5">
                <c:v>0.16425996256872513</c:v>
              </c:pt>
              <c:pt idx="6">
                <c:v>0.13763179122501645</c:v>
              </c:pt>
            </c:numLit>
          </c:val>
          <c:smooth val="0"/>
          <c:extLst>
            <c:ext xmlns:c16="http://schemas.microsoft.com/office/drawing/2014/chart" uri="{C3380CC4-5D6E-409C-BE32-E72D297353CC}">
              <c16:uniqueId val="{00000001-AA2D-4255-AC5C-DA3F4DF90002}"/>
            </c:ext>
          </c:extLst>
        </c:ser>
        <c:dLbls>
          <c:showLegendKey val="0"/>
          <c:showVal val="0"/>
          <c:showCatName val="0"/>
          <c:showSerName val="0"/>
          <c:showPercent val="0"/>
          <c:showBubbleSize val="0"/>
        </c:dLbls>
        <c:marker val="1"/>
        <c:smooth val="0"/>
        <c:axId val="1929716591"/>
        <c:axId val="1929710351"/>
      </c:lineChart>
      <c:catAx>
        <c:axId val="192974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29707471"/>
        <c:crosses val="autoZero"/>
        <c:auto val="1"/>
        <c:lblAlgn val="ctr"/>
        <c:lblOffset val="100"/>
        <c:noMultiLvlLbl val="0"/>
      </c:catAx>
      <c:valAx>
        <c:axId val="192970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744431"/>
        <c:crosses val="autoZero"/>
        <c:crossBetween val="between"/>
      </c:valAx>
      <c:valAx>
        <c:axId val="19297103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716591"/>
        <c:crosses val="max"/>
        <c:crossBetween val="between"/>
      </c:valAx>
      <c:catAx>
        <c:axId val="1929716591"/>
        <c:scaling>
          <c:orientation val="minMax"/>
        </c:scaling>
        <c:delete val="1"/>
        <c:axPos val="b"/>
        <c:numFmt formatCode="General" sourceLinked="1"/>
        <c:majorTickMark val="out"/>
        <c:minorTickMark val="none"/>
        <c:tickLblPos val="nextTo"/>
        <c:crossAx val="1929710351"/>
        <c:crosses val="autoZero"/>
        <c:auto val="1"/>
        <c:lblAlgn val="ctr"/>
        <c:lblOffset val="100"/>
        <c:noMultiLvlLbl val="0"/>
      </c:catAx>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legendEntry>
      <c:layout>
        <c:manualLayout>
          <c:xMode val="edge"/>
          <c:yMode val="edge"/>
          <c:x val="0.12104011037081903"/>
          <c:y val="0.91598640992055724"/>
          <c:w val="0.39039841173699441"/>
          <c:h val="6.847365233192004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COVID-19's</a:t>
            </a:r>
            <a:r>
              <a:rPr lang="en-IN" b="1" baseline="0"/>
              <a:t> impact on Essential services </a:t>
            </a:r>
            <a:endParaRPr lang="en-IN" b="1"/>
          </a:p>
        </c:rich>
      </c:tx>
      <c:layout>
        <c:manualLayout>
          <c:xMode val="edge"/>
          <c:yMode val="edge"/>
          <c:x val="0.11023495816842843"/>
          <c:y val="2.075634034952696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304439315775175E-2"/>
          <c:y val="0.16911552000230115"/>
          <c:w val="0.84110760400639573"/>
          <c:h val="0.63341497448945405"/>
        </c:manualLayout>
      </c:layout>
      <c:lineChart>
        <c:grouping val="standard"/>
        <c:varyColors val="0"/>
        <c:ser>
          <c:idx val="1"/>
          <c:order val="1"/>
          <c:tx>
            <c:v>Sum of urban</c:v>
          </c:tx>
          <c:spPr>
            <a:ln w="28575" cap="rnd">
              <a:solidFill>
                <a:schemeClr val="accent2">
                  <a:lumMod val="40000"/>
                  <a:lumOff val="60000"/>
                </a:schemeClr>
              </a:solidFill>
              <a:round/>
            </a:ln>
            <a:effectLst/>
          </c:spPr>
          <c:marker>
            <c:symbol val="none"/>
          </c:marker>
          <c:cat>
            <c:strLit>
              <c:ptCount val="7"/>
              <c:pt idx="0">
                <c:v>2017-2018</c:v>
              </c:pt>
              <c:pt idx="1">
                <c:v>2018-2019</c:v>
              </c:pt>
              <c:pt idx="2">
                <c:v>2019-2020</c:v>
              </c:pt>
              <c:pt idx="3">
                <c:v>MAR-20</c:v>
              </c:pt>
              <c:pt idx="4">
                <c:v>2020-2021</c:v>
              </c:pt>
              <c:pt idx="5">
                <c:v>2021-2022</c:v>
              </c:pt>
              <c:pt idx="6">
                <c:v>2022-2023</c:v>
              </c:pt>
            </c:strLit>
          </c:cat>
          <c:val>
            <c:numLit>
              <c:formatCode>General</c:formatCode>
              <c:ptCount val="7"/>
              <c:pt idx="0">
                <c:v>0.12994166689789566</c:v>
              </c:pt>
              <c:pt idx="1">
                <c:v>0.14037255779171087</c:v>
              </c:pt>
              <c:pt idx="2">
                <c:v>2.3532696979109889E-2</c:v>
              </c:pt>
              <c:pt idx="3">
                <c:v>0</c:v>
              </c:pt>
              <c:pt idx="4">
                <c:v>0.31897558342219118</c:v>
              </c:pt>
              <c:pt idx="5">
                <c:v>0.2605161665891258</c:v>
              </c:pt>
              <c:pt idx="6">
                <c:v>0.12666132831996654</c:v>
              </c:pt>
            </c:numLit>
          </c:val>
          <c:smooth val="0"/>
          <c:extLst>
            <c:ext xmlns:c16="http://schemas.microsoft.com/office/drawing/2014/chart" uri="{C3380CC4-5D6E-409C-BE32-E72D297353CC}">
              <c16:uniqueId val="{00000000-05DD-42BE-A085-F45A54070B0C}"/>
            </c:ext>
          </c:extLst>
        </c:ser>
        <c:dLbls>
          <c:showLegendKey val="0"/>
          <c:showVal val="0"/>
          <c:showCatName val="0"/>
          <c:showSerName val="0"/>
          <c:showPercent val="0"/>
          <c:showBubbleSize val="0"/>
        </c:dLbls>
        <c:marker val="1"/>
        <c:smooth val="0"/>
        <c:axId val="2053265071"/>
        <c:axId val="2053263631"/>
      </c:lineChart>
      <c:lineChart>
        <c:grouping val="standard"/>
        <c:varyColors val="0"/>
        <c:ser>
          <c:idx val="0"/>
          <c:order val="0"/>
          <c:tx>
            <c:v>Sum of rural</c:v>
          </c:tx>
          <c:spPr>
            <a:ln w="28575" cap="rnd">
              <a:solidFill>
                <a:schemeClr val="accent1">
                  <a:lumMod val="40000"/>
                  <a:lumOff val="60000"/>
                </a:schemeClr>
              </a:solidFill>
              <a:round/>
            </a:ln>
            <a:effectLst/>
          </c:spPr>
          <c:marker>
            <c:symbol val="none"/>
          </c:marker>
          <c:cat>
            <c:strLit>
              <c:ptCount val="7"/>
              <c:pt idx="0">
                <c:v>2017-2018</c:v>
              </c:pt>
              <c:pt idx="1">
                <c:v>2018-2019</c:v>
              </c:pt>
              <c:pt idx="2">
                <c:v>2019-2020</c:v>
              </c:pt>
              <c:pt idx="3">
                <c:v>MAR-20</c:v>
              </c:pt>
              <c:pt idx="4">
                <c:v>2020-2021</c:v>
              </c:pt>
              <c:pt idx="5">
                <c:v>2021-2022</c:v>
              </c:pt>
              <c:pt idx="6">
                <c:v>2022-2023</c:v>
              </c:pt>
            </c:strLit>
          </c:cat>
          <c:val>
            <c:numLit>
              <c:formatCode>General</c:formatCode>
              <c:ptCount val="7"/>
              <c:pt idx="0">
                <c:v>0.14945262663390946</c:v>
              </c:pt>
              <c:pt idx="1">
                <c:v>0.17823302031018098</c:v>
              </c:pt>
              <c:pt idx="2">
                <c:v>0.25736447431047849</c:v>
              </c:pt>
              <c:pt idx="3">
                <c:v>0</c:v>
              </c:pt>
              <c:pt idx="4">
                <c:v>0.1643814946353728</c:v>
              </c:pt>
              <c:pt idx="5">
                <c:v>0.15593184744849128</c:v>
              </c:pt>
              <c:pt idx="6">
                <c:v>9.4636536661567142E-2</c:v>
              </c:pt>
            </c:numLit>
          </c:val>
          <c:smooth val="0"/>
          <c:extLst>
            <c:ext xmlns:c16="http://schemas.microsoft.com/office/drawing/2014/chart" uri="{C3380CC4-5D6E-409C-BE32-E72D297353CC}">
              <c16:uniqueId val="{00000001-05DD-42BE-A085-F45A54070B0C}"/>
            </c:ext>
          </c:extLst>
        </c:ser>
        <c:dLbls>
          <c:showLegendKey val="0"/>
          <c:showVal val="0"/>
          <c:showCatName val="0"/>
          <c:showSerName val="0"/>
          <c:showPercent val="0"/>
          <c:showBubbleSize val="0"/>
        </c:dLbls>
        <c:marker val="1"/>
        <c:smooth val="0"/>
        <c:axId val="2053267471"/>
        <c:axId val="2053266991"/>
      </c:lineChart>
      <c:catAx>
        <c:axId val="205326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3263631"/>
        <c:crosses val="autoZero"/>
        <c:auto val="1"/>
        <c:lblAlgn val="ctr"/>
        <c:lblOffset val="100"/>
        <c:noMultiLvlLbl val="0"/>
      </c:catAx>
      <c:valAx>
        <c:axId val="205326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265071"/>
        <c:crosses val="autoZero"/>
        <c:crossBetween val="between"/>
      </c:valAx>
      <c:valAx>
        <c:axId val="20532669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267471"/>
        <c:crosses val="max"/>
        <c:crossBetween val="between"/>
      </c:valAx>
      <c:catAx>
        <c:axId val="2053267471"/>
        <c:scaling>
          <c:orientation val="minMax"/>
        </c:scaling>
        <c:delete val="1"/>
        <c:axPos val="b"/>
        <c:numFmt formatCode="General" sourceLinked="1"/>
        <c:majorTickMark val="out"/>
        <c:minorTickMark val="none"/>
        <c:tickLblPos val="nextTo"/>
        <c:crossAx val="2053266991"/>
        <c:crosses val="autoZero"/>
        <c:auto val="1"/>
        <c:lblAlgn val="ctr"/>
        <c:lblOffset val="100"/>
        <c:noMultiLvlLbl val="0"/>
      </c:catAx>
      <c:spPr>
        <a:noFill/>
        <a:ln>
          <a:noFill/>
        </a:ln>
        <a:effectLst/>
      </c:spPr>
    </c:plotArea>
    <c:legend>
      <c:legendPos val="b"/>
      <c:legendEntry>
        <c:idx val="0"/>
        <c:txPr>
          <a:bodyPr rot="0" spcFirstLastPara="1" vertOverflow="ellipsis" vert="horz" wrap="square" anchor="ctr" anchorCtr="1"/>
          <a:lstStyle/>
          <a:p>
            <a:pPr>
              <a:defRPr sz="900" b="0" i="0" u="none" strike="noStrike" kern="1200" cap="none" spc="0" baseline="0">
                <a:ln w="0"/>
                <a:noFill/>
                <a:effectLst>
                  <a:outerShdw blurRad="38100" dist="19050" dir="2700000" algn="tl" rotWithShape="0">
                    <a:schemeClr val="dk1">
                      <a:alpha val="40000"/>
                    </a:schemeClr>
                  </a:outerShdw>
                </a:effectLst>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cap="none" spc="0" baseline="0">
                <a:ln w="0"/>
                <a:noFill/>
                <a:effectLst>
                  <a:outerShdw blurRad="38100" dist="19050" dir="2700000" algn="tl" rotWithShape="0">
                    <a:schemeClr val="dk1">
                      <a:alpha val="40000"/>
                    </a:schemeClr>
                  </a:outerShdw>
                </a:effectLst>
                <a:latin typeface="+mn-lt"/>
                <a:ea typeface="+mn-ea"/>
                <a:cs typeface="+mn-cs"/>
              </a:defRPr>
            </a:pPr>
            <a:endParaRPr lang="en-US"/>
          </a:p>
        </c:txPr>
      </c:legendEntry>
      <c:layout>
        <c:manualLayout>
          <c:xMode val="edge"/>
          <c:yMode val="edge"/>
          <c:x val="0.1160123842278336"/>
          <c:y val="0.90607758644641312"/>
          <c:w val="0.40877982924548223"/>
          <c:h val="7.3166187421203982E-2"/>
        </c:manualLayout>
      </c:layout>
      <c:overlay val="0"/>
      <c:spPr>
        <a:solidFill>
          <a:schemeClr val="lt1"/>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CPVID19's</a:t>
            </a:r>
            <a:r>
              <a:rPr lang="en-IN" b="1" baseline="0"/>
              <a:t> impact on Essential Food services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07865619718249E-2"/>
          <c:y val="0.15200749362851385"/>
          <c:w val="0.82617444029510223"/>
          <c:h val="0.72652091495809412"/>
        </c:manualLayout>
      </c:layout>
      <c:lineChart>
        <c:grouping val="standard"/>
        <c:varyColors val="0"/>
        <c:ser>
          <c:idx val="1"/>
          <c:order val="1"/>
          <c:tx>
            <c:v>Sum of urban</c:v>
          </c:tx>
          <c:spPr>
            <a:ln w="28575" cap="rnd">
              <a:solidFill>
                <a:schemeClr val="accent2">
                  <a:lumMod val="40000"/>
                  <a:lumOff val="60000"/>
                </a:schemeClr>
              </a:solidFill>
              <a:round/>
            </a:ln>
            <a:effectLst/>
          </c:spPr>
          <c:marker>
            <c:symbol val="none"/>
          </c:marker>
          <c:cat>
            <c:strLit>
              <c:ptCount val="7"/>
              <c:pt idx="0">
                <c:v>2017-2018</c:v>
              </c:pt>
              <c:pt idx="1">
                <c:v>2018-2019</c:v>
              </c:pt>
              <c:pt idx="2">
                <c:v>2019-2020</c:v>
              </c:pt>
              <c:pt idx="3">
                <c:v>MAR-20</c:v>
              </c:pt>
              <c:pt idx="4">
                <c:v>2020-2021</c:v>
              </c:pt>
              <c:pt idx="5">
                <c:v>2021-2022</c:v>
              </c:pt>
              <c:pt idx="6">
                <c:v>2022-2023</c:v>
              </c:pt>
            </c:strLit>
          </c:cat>
          <c:val>
            <c:numLit>
              <c:formatCode>General</c:formatCode>
              <c:ptCount val="7"/>
              <c:pt idx="0">
                <c:v>-0.10590258380252959</c:v>
              </c:pt>
              <c:pt idx="1">
                <c:v>9.5225219581125467E-2</c:v>
              </c:pt>
              <c:pt idx="2">
                <c:v>0.50286253625402211</c:v>
              </c:pt>
              <c:pt idx="3">
                <c:v>0</c:v>
              </c:pt>
              <c:pt idx="4">
                <c:v>0.11455903004332162</c:v>
              </c:pt>
              <c:pt idx="5">
                <c:v>0.28991335287345832</c:v>
              </c:pt>
              <c:pt idx="6">
                <c:v>0.10334244505060212</c:v>
              </c:pt>
            </c:numLit>
          </c:val>
          <c:smooth val="0"/>
          <c:extLst>
            <c:ext xmlns:c16="http://schemas.microsoft.com/office/drawing/2014/chart" uri="{C3380CC4-5D6E-409C-BE32-E72D297353CC}">
              <c16:uniqueId val="{00000000-528D-41E9-BDFA-A0EBCBF68398}"/>
            </c:ext>
          </c:extLst>
        </c:ser>
        <c:dLbls>
          <c:showLegendKey val="0"/>
          <c:showVal val="0"/>
          <c:showCatName val="0"/>
          <c:showSerName val="0"/>
          <c:showPercent val="0"/>
          <c:showBubbleSize val="0"/>
        </c:dLbls>
        <c:marker val="1"/>
        <c:smooth val="0"/>
        <c:axId val="2053248751"/>
        <c:axId val="2053254511"/>
      </c:lineChart>
      <c:lineChart>
        <c:grouping val="standard"/>
        <c:varyColors val="0"/>
        <c:ser>
          <c:idx val="0"/>
          <c:order val="0"/>
          <c:tx>
            <c:v>Sum of rural</c:v>
          </c:tx>
          <c:spPr>
            <a:ln w="28575" cap="rnd">
              <a:solidFill>
                <a:schemeClr val="accent1">
                  <a:lumMod val="40000"/>
                  <a:lumOff val="60000"/>
                </a:schemeClr>
              </a:solidFill>
              <a:round/>
            </a:ln>
            <a:effectLst/>
          </c:spPr>
          <c:marker>
            <c:symbol val="none"/>
          </c:marker>
          <c:cat>
            <c:strLit>
              <c:ptCount val="7"/>
              <c:pt idx="0">
                <c:v>2017-2018</c:v>
              </c:pt>
              <c:pt idx="1">
                <c:v>2018-2019</c:v>
              </c:pt>
              <c:pt idx="2">
                <c:v>2019-2020</c:v>
              </c:pt>
              <c:pt idx="3">
                <c:v>MAR-20</c:v>
              </c:pt>
              <c:pt idx="4">
                <c:v>2020-2021</c:v>
              </c:pt>
              <c:pt idx="5">
                <c:v>2021-2022</c:v>
              </c:pt>
              <c:pt idx="6">
                <c:v>2022-2023</c:v>
              </c:pt>
            </c:strLit>
          </c:cat>
          <c:val>
            <c:numLit>
              <c:formatCode>General</c:formatCode>
              <c:ptCount val="7"/>
              <c:pt idx="0">
                <c:v>0.12650673370853854</c:v>
              </c:pt>
              <c:pt idx="1">
                <c:v>-0.23844569661212028</c:v>
              </c:pt>
              <c:pt idx="2">
                <c:v>0.52156877662395285</c:v>
              </c:pt>
              <c:pt idx="3">
                <c:v>0</c:v>
              </c:pt>
              <c:pt idx="4">
                <c:v>8.0471683156410762E-2</c:v>
              </c:pt>
              <c:pt idx="5">
                <c:v>0.4148523395630293</c:v>
              </c:pt>
              <c:pt idx="6">
                <c:v>9.5046163560188898E-2</c:v>
              </c:pt>
            </c:numLit>
          </c:val>
          <c:smooth val="0"/>
          <c:extLst>
            <c:ext xmlns:c16="http://schemas.microsoft.com/office/drawing/2014/chart" uri="{C3380CC4-5D6E-409C-BE32-E72D297353CC}">
              <c16:uniqueId val="{00000001-528D-41E9-BDFA-A0EBCBF68398}"/>
            </c:ext>
          </c:extLst>
        </c:ser>
        <c:dLbls>
          <c:showLegendKey val="0"/>
          <c:showVal val="0"/>
          <c:showCatName val="0"/>
          <c:showSerName val="0"/>
          <c:showPercent val="0"/>
          <c:showBubbleSize val="0"/>
        </c:dLbls>
        <c:marker val="1"/>
        <c:smooth val="0"/>
        <c:axId val="2053246831"/>
        <c:axId val="2053249711"/>
      </c:lineChart>
      <c:catAx>
        <c:axId val="205324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254511"/>
        <c:crosses val="autoZero"/>
        <c:auto val="1"/>
        <c:lblAlgn val="ctr"/>
        <c:lblOffset val="100"/>
        <c:noMultiLvlLbl val="0"/>
      </c:catAx>
      <c:valAx>
        <c:axId val="205325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248751"/>
        <c:crosses val="autoZero"/>
        <c:crossBetween val="between"/>
      </c:valAx>
      <c:valAx>
        <c:axId val="20532497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246831"/>
        <c:crosses val="max"/>
        <c:crossBetween val="between"/>
      </c:valAx>
      <c:catAx>
        <c:axId val="2053246831"/>
        <c:scaling>
          <c:orientation val="minMax"/>
        </c:scaling>
        <c:delete val="1"/>
        <c:axPos val="b"/>
        <c:numFmt formatCode="General" sourceLinked="1"/>
        <c:majorTickMark val="out"/>
        <c:minorTickMark val="none"/>
        <c:tickLblPos val="nextTo"/>
        <c:crossAx val="2053249711"/>
        <c:crosses val="autoZero"/>
        <c:auto val="1"/>
        <c:lblAlgn val="ctr"/>
        <c:lblOffset val="100"/>
        <c:noMultiLvlLbl val="0"/>
      </c:catAx>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legendEntry>
      <c:layout>
        <c:manualLayout>
          <c:xMode val="edge"/>
          <c:yMode val="edge"/>
          <c:x val="9.1207166558978439E-2"/>
          <c:y val="0.90489082886378336"/>
          <c:w val="0.377159148569572"/>
          <c:h val="7.09545817642359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The Impact of Crude Oil Price Fluctuations on Essential Services Inflation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[1]notes!$AR$2</c:f>
              <c:strCache>
                <c:ptCount val="1"/>
                <c:pt idx="0">
                  <c:v>e.services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4"/>
                </a:solidFill>
                <a:prstDash val="solid"/>
              </a:ln>
              <a:effectLst/>
            </c:spPr>
            <c:trendlineType val="linear"/>
            <c:dispRSqr val="0"/>
            <c:dispEq val="0"/>
          </c:trendline>
          <c:xVal>
            <c:numRef>
              <c:f>[1]notes!$AQ$3:$AQ$26</c:f>
              <c:numCache>
                <c:formatCode>General</c:formatCode>
                <c:ptCount val="24"/>
                <c:pt idx="0">
                  <c:v>49.47</c:v>
                </c:pt>
                <c:pt idx="1">
                  <c:v>56.44</c:v>
                </c:pt>
                <c:pt idx="2">
                  <c:v>60.43</c:v>
                </c:pt>
                <c:pt idx="3">
                  <c:v>59.87</c:v>
                </c:pt>
                <c:pt idx="4">
                  <c:v>62.8</c:v>
                </c:pt>
                <c:pt idx="5">
                  <c:v>68.58</c:v>
                </c:pt>
                <c:pt idx="6">
                  <c:v>70.12</c:v>
                </c:pt>
                <c:pt idx="7">
                  <c:v>65.680000000000007</c:v>
                </c:pt>
                <c:pt idx="8">
                  <c:v>69.09</c:v>
                </c:pt>
                <c:pt idx="9">
                  <c:v>78.510000000000005</c:v>
                </c:pt>
                <c:pt idx="10">
                  <c:v>76.45</c:v>
                </c:pt>
                <c:pt idx="11">
                  <c:v>70.56</c:v>
                </c:pt>
                <c:pt idx="12">
                  <c:v>80.33</c:v>
                </c:pt>
                <c:pt idx="13">
                  <c:v>89.41</c:v>
                </c:pt>
                <c:pt idx="14">
                  <c:v>107.07</c:v>
                </c:pt>
                <c:pt idx="15">
                  <c:v>103.32</c:v>
                </c:pt>
                <c:pt idx="16">
                  <c:v>108.29</c:v>
                </c:pt>
                <c:pt idx="17">
                  <c:v>113.77</c:v>
                </c:pt>
                <c:pt idx="18">
                  <c:v>100.84</c:v>
                </c:pt>
                <c:pt idx="19">
                  <c:v>93.76</c:v>
                </c:pt>
                <c:pt idx="20">
                  <c:v>84.62</c:v>
                </c:pt>
                <c:pt idx="21">
                  <c:v>86.61</c:v>
                </c:pt>
                <c:pt idx="22">
                  <c:v>84.43</c:v>
                </c:pt>
                <c:pt idx="23">
                  <c:v>80.52</c:v>
                </c:pt>
              </c:numCache>
            </c:numRef>
          </c:xVal>
          <c:yVal>
            <c:numRef>
              <c:f>[1]notes!$AR$3:$AR$26</c:f>
              <c:numCache>
                <c:formatCode>General</c:formatCode>
                <c:ptCount val="24"/>
                <c:pt idx="0">
                  <c:v>438.4</c:v>
                </c:pt>
                <c:pt idx="1">
                  <c:v>444.4</c:v>
                </c:pt>
                <c:pt idx="2">
                  <c:v>447.9</c:v>
                </c:pt>
                <c:pt idx="3">
                  <c:v>448.79999999999995</c:v>
                </c:pt>
                <c:pt idx="4">
                  <c:v>454.20000000000005</c:v>
                </c:pt>
                <c:pt idx="5">
                  <c:v>456.29999999999995</c:v>
                </c:pt>
                <c:pt idx="6">
                  <c:v>461</c:v>
                </c:pt>
                <c:pt idx="7">
                  <c:v>464.5</c:v>
                </c:pt>
                <c:pt idx="8">
                  <c:v>464.7</c:v>
                </c:pt>
                <c:pt idx="9">
                  <c:v>467.59999999999997</c:v>
                </c:pt>
                <c:pt idx="10">
                  <c:v>468.7</c:v>
                </c:pt>
                <c:pt idx="11">
                  <c:v>470</c:v>
                </c:pt>
                <c:pt idx="12">
                  <c:v>472.1</c:v>
                </c:pt>
                <c:pt idx="13">
                  <c:v>474.6</c:v>
                </c:pt>
                <c:pt idx="14">
                  <c:v>477.7</c:v>
                </c:pt>
                <c:pt idx="15">
                  <c:v>485.5</c:v>
                </c:pt>
                <c:pt idx="16">
                  <c:v>487.8</c:v>
                </c:pt>
                <c:pt idx="17">
                  <c:v>487.79999999999995</c:v>
                </c:pt>
                <c:pt idx="18">
                  <c:v>491.1</c:v>
                </c:pt>
                <c:pt idx="19">
                  <c:v>492.69999999999993</c:v>
                </c:pt>
                <c:pt idx="20">
                  <c:v>494.9</c:v>
                </c:pt>
                <c:pt idx="21">
                  <c:v>496.3</c:v>
                </c:pt>
                <c:pt idx="22">
                  <c:v>497.1</c:v>
                </c:pt>
                <c:pt idx="23">
                  <c:v>498.3</c:v>
                </c:pt>
              </c:numCache>
            </c:numRef>
          </c:yVal>
          <c:smooth val="0"/>
          <c:extLst>
            <c:ext xmlns:c16="http://schemas.microsoft.com/office/drawing/2014/chart" uri="{C3380CC4-5D6E-409C-BE32-E72D297353CC}">
              <c16:uniqueId val="{00000001-5FC3-463C-B9E3-226AB1BD2FBB}"/>
            </c:ext>
          </c:extLst>
        </c:ser>
        <c:dLbls>
          <c:showLegendKey val="0"/>
          <c:showVal val="0"/>
          <c:showCatName val="0"/>
          <c:showSerName val="0"/>
          <c:showPercent val="0"/>
          <c:showBubbleSize val="0"/>
        </c:dLbls>
        <c:axId val="1039887183"/>
        <c:axId val="1039887663"/>
      </c:scatterChart>
      <c:valAx>
        <c:axId val="1039887183"/>
        <c:scaling>
          <c:orientation val="minMax"/>
          <c:min val="40"/>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crude</a:t>
                </a:r>
                <a:r>
                  <a:rPr lang="en-IN" b="1" baseline="0"/>
                  <a:t> oil prices </a:t>
                </a:r>
                <a:endParaRPr lang="en-IN" b="1"/>
              </a:p>
            </c:rich>
          </c:tx>
          <c:layout>
            <c:manualLayout>
              <c:xMode val="edge"/>
              <c:yMode val="edge"/>
              <c:x val="0.44881205842948801"/>
              <c:y val="0.9261491629571549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9887663"/>
        <c:crosses val="autoZero"/>
        <c:crossBetween val="midCat"/>
      </c:valAx>
      <c:valAx>
        <c:axId val="1039887663"/>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Essential services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988718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_xlchart.v5.2</cx:f>
      </cx:numDim>
    </cx:data>
  </cx:chartData>
  <cx:chart>
    <cx:title pos="t" align="ctr" overlay="0">
      <cx:tx>
        <cx:txData>
          <cx:v>M-O-M changes in inflation for Food category in Rural sector  </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M-O-M changes in inflation for Food category in Rural sector  </a:t>
          </a:r>
        </a:p>
      </cx:txPr>
    </cx:title>
    <cx:plotArea>
      <cx:plotAreaRegion>
        <cx:plotSurface>
          <cx:spPr>
            <a:ln>
              <a:solidFill>
                <a:schemeClr val="tx1"/>
              </a:solidFill>
            </a:ln>
          </cx:spPr>
        </cx:plotSurface>
        <cx:series layoutId="waterfall" uniqueId="{B34EB414-EBD8-480B-AAFF-304EAA5540EB}">
          <cx:tx>
            <cx:txData>
              <cx:f>_xlchart.v5.1</cx:f>
              <cx:v>RURAL</cx:v>
            </cx:txData>
          </cx:tx>
          <cx:spPr>
            <a:solidFill>
              <a:schemeClr val="accent6">
                <a:lumMod val="40000"/>
                <a:lumOff val="60000"/>
              </a:schemeClr>
            </a:solidFill>
          </cx:spPr>
          <cx:dataPt idx="0">
            <cx:spPr>
              <a:solidFill>
                <a:srgbClr val="70AD47"/>
              </a:solidFill>
            </cx:spPr>
          </cx:dataPt>
          <cx:dataPt idx="6">
            <cx:spPr>
              <a:solidFill>
                <a:srgbClr val="5B9BD5">
                  <a:lumMod val="40000"/>
                  <a:lumOff val="60000"/>
                </a:srgbClr>
              </a:solidFill>
            </cx:spPr>
          </cx:dataPt>
          <cx:dataPt idx="8">
            <cx:spPr>
              <a:solidFill>
                <a:srgbClr val="5B9BD5"/>
              </a:solidFill>
            </cx:spPr>
          </cx:dataPt>
          <cx:data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cx:valScaling/>
        <cx:majorGridlines/>
        <cx:tickLabels/>
      </cx:axis>
    </cx:plotArea>
  </cx:chart>
  <cx:fmtOvrs>
    <cx:fmtOvr idx="1">
      <cx:spPr>
        <a:solidFill>
          <a:schemeClr val="accent1"/>
        </a:solidFill>
      </cx:spPr>
    </cx:fmtOvr>
    <cx:fmtOvr idx="0">
      <cx:spPr>
        <a:blipFill>
          <a:blip r:embed="rId1">
            <a:alphaModFix amt="38000"/>
          </a:blip>
          <a:tile tx="0" ty="0" sx="100000" sy="100000" flip="none" algn="tl"/>
        </a:blipFill>
      </cx:spPr>
    </cx:fmtOvr>
    <cx:fmtOvr idx="2">
      <cx:spPr>
        <a:solidFill>
          <a:schemeClr val="accent2"/>
        </a:solidFill>
      </cx:spPr>
    </cx:fmtOvr>
  </cx:fmtOvrs>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_xlchart.v1.3</cx:f>
      </cx:numDim>
    </cx:data>
  </cx:chartData>
  <cx:chart>
    <cx:title pos="t" align="ctr" overlay="0">
      <cx:tx>
        <cx:txData>
          <cx:v>M-O-M changes in inflation for Food category in Urban sector  </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M-O-M changes in inflation for Food category in Urban sector  </a:t>
          </a:r>
        </a:p>
      </cx:txPr>
    </cx:title>
    <cx:plotArea>
      <cx:plotAreaRegion>
        <cx:series layoutId="waterfall" uniqueId="{54AB651C-662D-4279-8271-3921480CD6E2}">
          <cx:spPr>
            <a:solidFill>
              <a:schemeClr val="accent2">
                <a:lumMod val="40000"/>
                <a:lumOff val="60000"/>
              </a:schemeClr>
            </a:solidFill>
          </cx:spPr>
          <cx:dataPt idx="0">
            <cx:spPr>
              <a:solidFill>
                <a:srgbClr val="ED7D31"/>
              </a:solidFill>
            </cx:spPr>
          </cx:dataPt>
          <cx:dataPt idx="5">
            <cx:spPr>
              <a:solidFill>
                <a:srgbClr val="4472C4">
                  <a:lumMod val="20000"/>
                  <a:lumOff val="80000"/>
                </a:srgbClr>
              </a:solidFill>
            </cx:spPr>
          </cx:dataPt>
          <cx:dataPt idx="6">
            <cx:spPr>
              <a:solidFill>
                <a:srgbClr val="5B9BD5"/>
              </a:solidFill>
            </cx:spPr>
          </cx:dataPt>
          <cx:dataPt idx="8">
            <cx:spPr>
              <a:solidFill>
                <a:srgbClr val="4472C4">
                  <a:lumMod val="20000"/>
                  <a:lumOff val="80000"/>
                </a:srgbClr>
              </a:solidFill>
            </cx:spPr>
          </cx:dataPt>
          <cx:dataLabels pos="outEnd">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307092</xdr:colOff>
      <xdr:row>18</xdr:row>
      <xdr:rowOff>16603</xdr:rowOff>
    </xdr:from>
    <xdr:to>
      <xdr:col>14</xdr:col>
      <xdr:colOff>48228</xdr:colOff>
      <xdr:row>37</xdr:row>
      <xdr:rowOff>38582</xdr:rowOff>
    </xdr:to>
    <xdr:graphicFrame macro="">
      <xdr:nvGraphicFramePr>
        <xdr:cNvPr id="2" name="Chart 1">
          <a:extLst>
            <a:ext uri="{FF2B5EF4-FFF2-40B4-BE49-F238E27FC236}">
              <a16:creationId xmlns:a16="http://schemas.microsoft.com/office/drawing/2014/main" id="{E2DE92BE-A63B-4D20-A57C-83C57732E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422467</xdr:colOff>
      <xdr:row>17</xdr:row>
      <xdr:rowOff>184121</xdr:rowOff>
    </xdr:from>
    <xdr:to>
      <xdr:col>28</xdr:col>
      <xdr:colOff>478465</xdr:colOff>
      <xdr:row>34</xdr:row>
      <xdr:rowOff>177387</xdr:rowOff>
    </xdr:to>
    <xdr:graphicFrame macro="">
      <xdr:nvGraphicFramePr>
        <xdr:cNvPr id="3" name="Chart 2">
          <a:extLst>
            <a:ext uri="{FF2B5EF4-FFF2-40B4-BE49-F238E27FC236}">
              <a16:creationId xmlns:a16="http://schemas.microsoft.com/office/drawing/2014/main" id="{91AC0B38-FFCB-4D45-A8C1-52CD5FF83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0.33321</cdr:x>
      <cdr:y>0.38898</cdr:y>
    </cdr:from>
    <cdr:to>
      <cdr:x>0.44604</cdr:x>
      <cdr:y>0.48051</cdr:y>
    </cdr:to>
    <cdr:sp macro="" textlink="">
      <cdr:nvSpPr>
        <cdr:cNvPr id="2" name="Rectangle 1">
          <a:extLst xmlns:a="http://schemas.openxmlformats.org/drawingml/2006/main">
            <a:ext uri="{FF2B5EF4-FFF2-40B4-BE49-F238E27FC236}">
              <a16:creationId xmlns:a16="http://schemas.microsoft.com/office/drawing/2014/main" id="{17563DC0-F7A6-A6E3-8BF9-419446CC06F5}"/>
            </a:ext>
          </a:extLst>
        </cdr:cNvPr>
        <cdr:cNvSpPr/>
      </cdr:nvSpPr>
      <cdr:spPr>
        <a:xfrm xmlns:a="http://schemas.openxmlformats.org/drawingml/2006/main">
          <a:off x="1736088" y="1363011"/>
          <a:ext cx="587864" cy="320724"/>
        </a:xfrm>
        <a:prstGeom xmlns:a="http://schemas.openxmlformats.org/drawingml/2006/main" prst="rect">
          <a:avLst/>
        </a:prstGeom>
        <a:noFill xmlns:a="http://schemas.openxmlformats.org/drawingml/2006/main"/>
        <a:ln xmlns:a="http://schemas.openxmlformats.org/drawingml/2006/main" w="12700">
          <a:solidFill>
            <a:srgbClr val="92D050"/>
          </a:solidFill>
          <a:prstDash val="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3.xml><?xml version="1.0" encoding="utf-8"?>
<c:userShapes xmlns:c="http://schemas.openxmlformats.org/drawingml/2006/chart">
  <cdr:relSizeAnchor xmlns:cdr="http://schemas.openxmlformats.org/drawingml/2006/chartDrawing">
    <cdr:from>
      <cdr:x>0.42937</cdr:x>
      <cdr:y>0.34452</cdr:y>
    </cdr:from>
    <cdr:to>
      <cdr:x>0.52941</cdr:x>
      <cdr:y>0.43949</cdr:y>
    </cdr:to>
    <cdr:sp macro="" textlink="">
      <cdr:nvSpPr>
        <cdr:cNvPr id="2" name="Rectangle 1">
          <a:extLst xmlns:a="http://schemas.openxmlformats.org/drawingml/2006/main">
            <a:ext uri="{FF2B5EF4-FFF2-40B4-BE49-F238E27FC236}">
              <a16:creationId xmlns:a16="http://schemas.microsoft.com/office/drawing/2014/main" id="{3597F3D8-842F-6D06-3295-E8C88B1A65ED}"/>
            </a:ext>
          </a:extLst>
        </cdr:cNvPr>
        <cdr:cNvSpPr/>
      </cdr:nvSpPr>
      <cdr:spPr>
        <a:xfrm xmlns:a="http://schemas.openxmlformats.org/drawingml/2006/main">
          <a:off x="1839517" y="1046499"/>
          <a:ext cx="428569" cy="288497"/>
        </a:xfrm>
        <a:prstGeom xmlns:a="http://schemas.openxmlformats.org/drawingml/2006/main" prst="rect">
          <a:avLst/>
        </a:prstGeom>
        <a:noFill xmlns:a="http://schemas.openxmlformats.org/drawingml/2006/main"/>
        <a:ln xmlns:a="http://schemas.openxmlformats.org/drawingml/2006/main">
          <a:solidFill>
            <a:schemeClr val="accent1"/>
          </a:solidFill>
          <a:prstDash val="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4.xml><?xml version="1.0" encoding="utf-8"?>
<xdr:wsDr xmlns:xdr="http://schemas.openxmlformats.org/drawingml/2006/spreadsheetDrawing" xmlns:a="http://schemas.openxmlformats.org/drawingml/2006/main">
  <xdr:twoCellAnchor>
    <xdr:from>
      <xdr:col>10</xdr:col>
      <xdr:colOff>38433</xdr:colOff>
      <xdr:row>16</xdr:row>
      <xdr:rowOff>134815</xdr:rowOff>
    </xdr:from>
    <xdr:to>
      <xdr:col>20</xdr:col>
      <xdr:colOff>295701</xdr:colOff>
      <xdr:row>36</xdr:row>
      <xdr:rowOff>8374</xdr:rowOff>
    </xdr:to>
    <xdr:graphicFrame macro="">
      <xdr:nvGraphicFramePr>
        <xdr:cNvPr id="2" name="Chart 1">
          <a:extLst>
            <a:ext uri="{FF2B5EF4-FFF2-40B4-BE49-F238E27FC236}">
              <a16:creationId xmlns:a16="http://schemas.microsoft.com/office/drawing/2014/main" id="{C6136AFF-A78C-47F9-AF60-B64460AC6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776654</xdr:colOff>
      <xdr:row>18</xdr:row>
      <xdr:rowOff>47370</xdr:rowOff>
    </xdr:from>
    <xdr:to>
      <xdr:col>32</xdr:col>
      <xdr:colOff>84286</xdr:colOff>
      <xdr:row>35</xdr:row>
      <xdr:rowOff>113884</xdr:rowOff>
    </xdr:to>
    <xdr:graphicFrame macro="">
      <xdr:nvGraphicFramePr>
        <xdr:cNvPr id="3" name="Chart 2">
          <a:extLst>
            <a:ext uri="{FF2B5EF4-FFF2-40B4-BE49-F238E27FC236}">
              <a16:creationId xmlns:a16="http://schemas.microsoft.com/office/drawing/2014/main" id="{6F123846-2033-4BA9-A6F7-F8F114F3F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0.46304</cdr:x>
      <cdr:y>0.37259</cdr:y>
    </cdr:from>
    <cdr:to>
      <cdr:x>0.51582</cdr:x>
      <cdr:y>0.44993</cdr:y>
    </cdr:to>
    <cdr:sp macro="" textlink="">
      <cdr:nvSpPr>
        <cdr:cNvPr id="2" name="Arrow: Up 1">
          <a:extLst xmlns:a="http://schemas.openxmlformats.org/drawingml/2006/main">
            <a:ext uri="{FF2B5EF4-FFF2-40B4-BE49-F238E27FC236}">
              <a16:creationId xmlns:a16="http://schemas.microsoft.com/office/drawing/2014/main" id="{A42B0AB2-3A19-D42B-538D-BE2924EBE8B2}"/>
            </a:ext>
          </a:extLst>
        </cdr:cNvPr>
        <cdr:cNvSpPr/>
      </cdr:nvSpPr>
      <cdr:spPr>
        <a:xfrm xmlns:a="http://schemas.openxmlformats.org/drawingml/2006/main">
          <a:off x="2072640" y="1211580"/>
          <a:ext cx="236220" cy="251460"/>
        </a:xfrm>
        <a:prstGeom xmlns:a="http://schemas.openxmlformats.org/drawingml/2006/main" prst="upArrow">
          <a:avLst>
            <a:gd name="adj1" fmla="val 50000"/>
            <a:gd name="adj2" fmla="val 57979"/>
          </a:avLst>
        </a:prstGeom>
        <a:noFill xmlns:a="http://schemas.openxmlformats.org/drawingml/2006/main"/>
        <a:ln xmlns:a="http://schemas.openxmlformats.org/drawingml/2006/main">
          <a:solidFill>
            <a:srgbClr val="92D05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0.4266</cdr:x>
      <cdr:y>0.48273</cdr:y>
    </cdr:from>
    <cdr:to>
      <cdr:x>0.82325</cdr:x>
      <cdr:y>0.69721</cdr:y>
    </cdr:to>
    <cdr:sp macro="" textlink="">
      <cdr:nvSpPr>
        <cdr:cNvPr id="3" name="Speech Bubble: Rectangle with Corners Rounded 2">
          <a:extLst xmlns:a="http://schemas.openxmlformats.org/drawingml/2006/main">
            <a:ext uri="{FF2B5EF4-FFF2-40B4-BE49-F238E27FC236}">
              <a16:creationId xmlns:a16="http://schemas.microsoft.com/office/drawing/2014/main" id="{A533E8D4-AC63-52E6-315E-48DAD0B47497}"/>
            </a:ext>
          </a:extLst>
        </cdr:cNvPr>
        <cdr:cNvSpPr/>
      </cdr:nvSpPr>
      <cdr:spPr>
        <a:xfrm xmlns:a="http://schemas.openxmlformats.org/drawingml/2006/main">
          <a:off x="2699280" y="1684646"/>
          <a:ext cx="2509778" cy="748498"/>
        </a:xfrm>
        <a:prstGeom xmlns:a="http://schemas.openxmlformats.org/drawingml/2006/main" prst="wedgeRoundRectCallout">
          <a:avLst/>
        </a:prstGeom>
        <a:solidFill xmlns:a="http://schemas.openxmlformats.org/drawingml/2006/main">
          <a:schemeClr val="lt1"/>
        </a:solidFill>
        <a:ln xmlns:a="http://schemas.openxmlformats.org/drawingml/2006/main" w="15875">
          <a:solidFill>
            <a:srgbClr val="92D050">
              <a:alpha val="98000"/>
            </a:srgbClr>
          </a:solidFill>
          <a:prstDash val="solid"/>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baseline="0">
              <a:ln>
                <a:solidFill>
                  <a:schemeClr val="accent1">
                    <a:shade val="15000"/>
                  </a:schemeClr>
                </a:solidFill>
              </a:ln>
            </a:rPr>
            <a:t>2019 HAS THE HIGHEST INFLATION RATE  IN COMBINED SECTOR  </a:t>
          </a:r>
          <a:r>
            <a:rPr lang="en-IN" kern="1200"/>
            <a:t>FMDSNFFSF</a:t>
          </a:r>
          <a:endParaRPr lang="en-IN" kern="1200">
            <a:solidFill>
              <a:schemeClr val="lt1">
                <a:alpha val="97000"/>
              </a:schemeClr>
            </a:solidFill>
          </a:endParaRPr>
        </a:p>
        <a:p xmlns:a="http://schemas.openxmlformats.org/drawingml/2006/main">
          <a:endParaRPr lang="en-IN" kern="1200">
            <a:ln>
              <a:solidFill>
                <a:schemeClr val="tx1"/>
              </a:solidFill>
            </a:ln>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0.68641</cdr:x>
      <cdr:y>0.40389</cdr:y>
    </cdr:from>
    <cdr:to>
      <cdr:x>0.92445</cdr:x>
      <cdr:y>0.68758</cdr:y>
    </cdr:to>
    <cdr:sp macro="" textlink="">
      <cdr:nvSpPr>
        <cdr:cNvPr id="4" name="Rectangle 3">
          <a:extLst xmlns:a="http://schemas.openxmlformats.org/drawingml/2006/main">
            <a:ext uri="{FF2B5EF4-FFF2-40B4-BE49-F238E27FC236}">
              <a16:creationId xmlns:a16="http://schemas.microsoft.com/office/drawing/2014/main" id="{07D9BEE1-BE91-9FD0-9262-6185A1B12A1A}"/>
            </a:ext>
          </a:extLst>
        </cdr:cNvPr>
        <cdr:cNvSpPr/>
      </cdr:nvSpPr>
      <cdr:spPr>
        <a:xfrm xmlns:a="http://schemas.openxmlformats.org/drawingml/2006/main">
          <a:off x="3465778" y="1129607"/>
          <a:ext cx="1201918" cy="793423"/>
        </a:xfrm>
        <a:prstGeom xmlns:a="http://schemas.openxmlformats.org/drawingml/2006/main" prst="rect">
          <a:avLst/>
        </a:prstGeom>
        <a:noFill xmlns:a="http://schemas.openxmlformats.org/drawingml/2006/main"/>
        <a:ln xmlns:a="http://schemas.openxmlformats.org/drawingml/2006/main">
          <a:solidFill>
            <a:schemeClr val="accent5">
              <a:lumMod val="60000"/>
              <a:lumOff val="40000"/>
            </a:schemeClr>
          </a:solidFill>
          <a:prstDash val="sys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ln>
                <a:solidFill>
                  <a:schemeClr val="accent1">
                    <a:shade val="15000"/>
                  </a:schemeClr>
                </a:solidFill>
              </a:ln>
            </a:rPr>
            <a:t>REASON:</a:t>
          </a:r>
          <a:r>
            <a:rPr lang="en-IN" kern="1200" baseline="0">
              <a:ln>
                <a:solidFill>
                  <a:schemeClr val="accent1">
                    <a:shade val="15000"/>
                  </a:schemeClr>
                </a:solidFill>
              </a:ln>
            </a:rPr>
            <a:t> suddenly rises in vegetable(onion) prices </a:t>
          </a:r>
          <a:endParaRPr lang="en-IN" kern="1200">
            <a:ln>
              <a:solidFill>
                <a:schemeClr val="accent1">
                  <a:shade val="15000"/>
                </a:schemeClr>
              </a:solidFill>
            </a:ln>
          </a:endParaRPr>
        </a:p>
      </cdr:txBody>
    </cdr:sp>
  </cdr:relSizeAnchor>
  <cdr:relSizeAnchor xmlns:cdr="http://schemas.openxmlformats.org/drawingml/2006/chartDrawing">
    <cdr:from>
      <cdr:x>0.65218</cdr:x>
      <cdr:y>0.37581</cdr:y>
    </cdr:from>
    <cdr:to>
      <cdr:x>0.67552</cdr:x>
      <cdr:y>0.43198</cdr:y>
    </cdr:to>
    <cdr:sp macro="" textlink="">
      <cdr:nvSpPr>
        <cdr:cNvPr id="6" name="Star: 5 Points 5">
          <a:extLst xmlns:a="http://schemas.openxmlformats.org/drawingml/2006/main">
            <a:ext uri="{FF2B5EF4-FFF2-40B4-BE49-F238E27FC236}">
              <a16:creationId xmlns:a16="http://schemas.microsoft.com/office/drawing/2014/main" id="{6D04BF7C-1E48-FD5D-3B64-D92811AAC513}"/>
            </a:ext>
          </a:extLst>
        </cdr:cNvPr>
        <cdr:cNvSpPr/>
      </cdr:nvSpPr>
      <cdr:spPr>
        <a:xfrm xmlns:a="http://schemas.openxmlformats.org/drawingml/2006/main">
          <a:off x="3292953" y="1051051"/>
          <a:ext cx="117836" cy="157113"/>
        </a:xfrm>
        <a:prstGeom xmlns:a="http://schemas.openxmlformats.org/drawingml/2006/main" prst="star5">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7.xml><?xml version="1.0" encoding="utf-8"?>
<xdr:wsDr xmlns:xdr="http://schemas.openxmlformats.org/drawingml/2006/spreadsheetDrawing" xmlns:a="http://schemas.openxmlformats.org/drawingml/2006/main">
  <xdr:twoCellAnchor>
    <xdr:from>
      <xdr:col>13</xdr:col>
      <xdr:colOff>454702</xdr:colOff>
      <xdr:row>16</xdr:row>
      <xdr:rowOff>18996</xdr:rowOff>
    </xdr:from>
    <xdr:to>
      <xdr:col>24</xdr:col>
      <xdr:colOff>556302</xdr:colOff>
      <xdr:row>33</xdr:row>
      <xdr:rowOff>104967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A295A15-C79A-4F7E-934B-CB4CFBA5C6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469162" y="3059376"/>
              <a:ext cx="6807200" cy="31949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339926</xdr:colOff>
      <xdr:row>24</xdr:row>
      <xdr:rowOff>148525</xdr:rowOff>
    </xdr:from>
    <xdr:to>
      <xdr:col>15</xdr:col>
      <xdr:colOff>261056</xdr:colOff>
      <xdr:row>32</xdr:row>
      <xdr:rowOff>42332</xdr:rowOff>
    </xdr:to>
    <xdr:sp macro="" textlink="">
      <xdr:nvSpPr>
        <xdr:cNvPr id="3" name="Rectangle 2">
          <a:extLst>
            <a:ext uri="{FF2B5EF4-FFF2-40B4-BE49-F238E27FC236}">
              <a16:creationId xmlns:a16="http://schemas.microsoft.com/office/drawing/2014/main" id="{185E57FE-19D7-1809-B9CD-5348BB22F6C3}"/>
            </a:ext>
          </a:extLst>
        </xdr:cNvPr>
        <xdr:cNvSpPr/>
      </xdr:nvSpPr>
      <xdr:spPr>
        <a:xfrm>
          <a:off x="9935960" y="4572000"/>
          <a:ext cx="528147" cy="1340315"/>
        </a:xfrm>
        <a:prstGeom prst="rect">
          <a:avLst/>
        </a:prstGeom>
        <a:noFill/>
        <a:ln>
          <a:solidFill>
            <a:srgbClr val="92D05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205643</xdr:colOff>
      <xdr:row>19</xdr:row>
      <xdr:rowOff>113828</xdr:rowOff>
    </xdr:from>
    <xdr:to>
      <xdr:col>22</xdr:col>
      <xdr:colOff>149197</xdr:colOff>
      <xdr:row>27</xdr:row>
      <xdr:rowOff>120805</xdr:rowOff>
    </xdr:to>
    <xdr:sp macro="" textlink="">
      <xdr:nvSpPr>
        <xdr:cNvPr id="4" name="Rectangle 3">
          <a:extLst>
            <a:ext uri="{FF2B5EF4-FFF2-40B4-BE49-F238E27FC236}">
              <a16:creationId xmlns:a16="http://schemas.microsoft.com/office/drawing/2014/main" id="{7AED2253-D381-D869-5590-C5E3AC5354D3}"/>
            </a:ext>
          </a:extLst>
        </xdr:cNvPr>
        <xdr:cNvSpPr/>
      </xdr:nvSpPr>
      <xdr:spPr>
        <a:xfrm>
          <a:off x="14163253" y="3728682"/>
          <a:ext cx="556871" cy="1493806"/>
        </a:xfrm>
        <a:prstGeom prst="rect">
          <a:avLst/>
        </a:prstGeom>
        <a:no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606674</xdr:colOff>
      <xdr:row>16</xdr:row>
      <xdr:rowOff>15012</xdr:rowOff>
    </xdr:from>
    <xdr:to>
      <xdr:col>37</xdr:col>
      <xdr:colOff>467654</xdr:colOff>
      <xdr:row>33</xdr:row>
      <xdr:rowOff>105703</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C656379-4FE3-4D59-A8B5-95974B37B4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7545934" y="3055392"/>
              <a:ext cx="6566580" cy="31996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455342</xdr:colOff>
      <xdr:row>23</xdr:row>
      <xdr:rowOff>83634</xdr:rowOff>
    </xdr:from>
    <xdr:to>
      <xdr:col>28</xdr:col>
      <xdr:colOff>419528</xdr:colOff>
      <xdr:row>32</xdr:row>
      <xdr:rowOff>74342</xdr:rowOff>
    </xdr:to>
    <xdr:sp macro="" textlink="">
      <xdr:nvSpPr>
        <xdr:cNvPr id="6" name="Rectangle 5">
          <a:extLst>
            <a:ext uri="{FF2B5EF4-FFF2-40B4-BE49-F238E27FC236}">
              <a16:creationId xmlns:a16="http://schemas.microsoft.com/office/drawing/2014/main" id="{F7D88BEA-DF4F-E1E4-2CD8-01F7C3FFF3DC}"/>
            </a:ext>
          </a:extLst>
        </xdr:cNvPr>
        <xdr:cNvSpPr/>
      </xdr:nvSpPr>
      <xdr:spPr>
        <a:xfrm>
          <a:off x="18092854" y="4441902"/>
          <a:ext cx="577503" cy="1663391"/>
        </a:xfrm>
        <a:prstGeom prst="rect">
          <a:avLst/>
        </a:prstGeom>
        <a:noFill/>
        <a:ln>
          <a:solidFill>
            <a:schemeClr val="accent6"/>
          </a:solidFill>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432661</xdr:colOff>
      <xdr:row>21</xdr:row>
      <xdr:rowOff>148525</xdr:rowOff>
    </xdr:from>
    <xdr:to>
      <xdr:col>33</xdr:col>
      <xdr:colOff>419746</xdr:colOff>
      <xdr:row>29</xdr:row>
      <xdr:rowOff>154983</xdr:rowOff>
    </xdr:to>
    <xdr:sp macro="" textlink="">
      <xdr:nvSpPr>
        <xdr:cNvPr id="7" name="Rectangle 6">
          <a:extLst>
            <a:ext uri="{FF2B5EF4-FFF2-40B4-BE49-F238E27FC236}">
              <a16:creationId xmlns:a16="http://schemas.microsoft.com/office/drawing/2014/main" id="{44119776-718E-38CF-C5F9-D4EC9F52F8E8}"/>
            </a:ext>
          </a:extLst>
        </xdr:cNvPr>
        <xdr:cNvSpPr/>
      </xdr:nvSpPr>
      <xdr:spPr>
        <a:xfrm>
          <a:off x="20955000" y="4029559"/>
          <a:ext cx="594102" cy="1452966"/>
        </a:xfrm>
        <a:prstGeom prst="rect">
          <a:avLst/>
        </a:prstGeom>
        <a:noFill/>
        <a:ln>
          <a:solidFill>
            <a:srgbClr val="FF0000"/>
          </a:solidFill>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24</xdr:col>
      <xdr:colOff>16933</xdr:colOff>
      <xdr:row>8</xdr:row>
      <xdr:rowOff>143933</xdr:rowOff>
    </xdr:from>
    <xdr:to>
      <xdr:col>36</xdr:col>
      <xdr:colOff>448733</xdr:colOff>
      <xdr:row>28</xdr:row>
      <xdr:rowOff>50799</xdr:rowOff>
    </xdr:to>
    <xdr:graphicFrame macro="">
      <xdr:nvGraphicFramePr>
        <xdr:cNvPr id="3" name="Chart 2">
          <a:extLst>
            <a:ext uri="{FF2B5EF4-FFF2-40B4-BE49-F238E27FC236}">
              <a16:creationId xmlns:a16="http://schemas.microsoft.com/office/drawing/2014/main" id="{3EF7840E-E232-42F3-93EE-F48F7EF86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0.64149</cdr:x>
      <cdr:y>0.15422</cdr:y>
    </cdr:from>
    <cdr:to>
      <cdr:x>0.71575</cdr:x>
      <cdr:y>0.53494</cdr:y>
    </cdr:to>
    <cdr:sp macro="" textlink="">
      <cdr:nvSpPr>
        <cdr:cNvPr id="2" name="Rectangle 1">
          <a:extLst xmlns:a="http://schemas.openxmlformats.org/drawingml/2006/main">
            <a:ext uri="{FF2B5EF4-FFF2-40B4-BE49-F238E27FC236}">
              <a16:creationId xmlns:a16="http://schemas.microsoft.com/office/drawing/2014/main" id="{FE08A441-7256-3787-EBD2-4170B10F12A0}"/>
            </a:ext>
          </a:extLst>
        </cdr:cNvPr>
        <cdr:cNvSpPr/>
      </cdr:nvSpPr>
      <cdr:spPr>
        <a:xfrm xmlns:a="http://schemas.openxmlformats.org/drawingml/2006/main">
          <a:off x="3817620" y="487680"/>
          <a:ext cx="441960" cy="12039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0.62623</cdr:x>
      <cdr:y>0.1494</cdr:y>
    </cdr:from>
    <cdr:to>
      <cdr:x>0.7082</cdr:x>
      <cdr:y>0.65734</cdr:y>
    </cdr:to>
    <cdr:sp macro="" textlink="">
      <cdr:nvSpPr>
        <cdr:cNvPr id="3" name="Rectangle 2">
          <a:extLst xmlns:a="http://schemas.openxmlformats.org/drawingml/2006/main">
            <a:ext uri="{FF2B5EF4-FFF2-40B4-BE49-F238E27FC236}">
              <a16:creationId xmlns:a16="http://schemas.microsoft.com/office/drawing/2014/main" id="{287A1163-E223-1FC2-F5F8-78FEC5BAD670}"/>
            </a:ext>
          </a:extLst>
        </cdr:cNvPr>
        <cdr:cNvSpPr/>
      </cdr:nvSpPr>
      <cdr:spPr>
        <a:xfrm xmlns:a="http://schemas.openxmlformats.org/drawingml/2006/main">
          <a:off x="4851401" y="542651"/>
          <a:ext cx="635000" cy="1844949"/>
        </a:xfrm>
        <a:prstGeom xmlns:a="http://schemas.openxmlformats.org/drawingml/2006/main" prst="rect">
          <a:avLst/>
        </a:prstGeom>
        <a:noFill xmlns:a="http://schemas.openxmlformats.org/drawingml/2006/main"/>
        <a:ln xmlns:a="http://schemas.openxmlformats.org/drawingml/2006/main">
          <a:solidFill>
            <a:srgbClr val="7030A0"/>
          </a:solidFill>
          <a:prstDash val="lg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0.67213</cdr:x>
      <cdr:y>0.48252</cdr:y>
    </cdr:from>
    <cdr:to>
      <cdr:x>0.69836</cdr:x>
      <cdr:y>0.5711</cdr:y>
    </cdr:to>
    <cdr:sp macro="" textlink="">
      <cdr:nvSpPr>
        <cdr:cNvPr id="4" name="Star: 5 Points 3">
          <a:extLst xmlns:a="http://schemas.openxmlformats.org/drawingml/2006/main">
            <a:ext uri="{FF2B5EF4-FFF2-40B4-BE49-F238E27FC236}">
              <a16:creationId xmlns:a16="http://schemas.microsoft.com/office/drawing/2014/main" id="{17CA9EE9-6D36-BF7A-2383-829ED515FDEF}"/>
            </a:ext>
          </a:extLst>
        </cdr:cNvPr>
        <cdr:cNvSpPr/>
      </cdr:nvSpPr>
      <cdr:spPr>
        <a:xfrm xmlns:a="http://schemas.openxmlformats.org/drawingml/2006/main">
          <a:off x="5207001" y="1752600"/>
          <a:ext cx="203200" cy="321733"/>
        </a:xfrm>
        <a:prstGeom xmlns:a="http://schemas.openxmlformats.org/drawingml/2006/main" prst="star5">
          <a:avLst/>
        </a:prstGeom>
        <a:solidFill xmlns:a="http://schemas.openxmlformats.org/drawingml/2006/main">
          <a:srgbClr val="FFFF00"/>
        </a:solidFill>
        <a:ln xmlns:a="http://schemas.openxmlformats.org/drawingml/2006/main">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10.xml><?xml version="1.0" encoding="utf-8"?>
<xdr:wsDr xmlns:xdr="http://schemas.openxmlformats.org/drawingml/2006/spreadsheetDrawing" xmlns:a="http://schemas.openxmlformats.org/drawingml/2006/main">
  <xdr:twoCellAnchor>
    <xdr:from>
      <xdr:col>10</xdr:col>
      <xdr:colOff>0</xdr:colOff>
      <xdr:row>11</xdr:row>
      <xdr:rowOff>129540</xdr:rowOff>
    </xdr:from>
    <xdr:to>
      <xdr:col>19</xdr:col>
      <xdr:colOff>457200</xdr:colOff>
      <xdr:row>33</xdr:row>
      <xdr:rowOff>91440</xdr:rowOff>
    </xdr:to>
    <xdr:graphicFrame macro="">
      <xdr:nvGraphicFramePr>
        <xdr:cNvPr id="2" name="Chart 1">
          <a:extLst>
            <a:ext uri="{FF2B5EF4-FFF2-40B4-BE49-F238E27FC236}">
              <a16:creationId xmlns:a16="http://schemas.microsoft.com/office/drawing/2014/main" id="{0B7F3F01-339C-41D0-A077-092BFFDC9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151708</xdr:colOff>
      <xdr:row>11</xdr:row>
      <xdr:rowOff>92056</xdr:rowOff>
    </xdr:from>
    <xdr:to>
      <xdr:col>38</xdr:col>
      <xdr:colOff>576888</xdr:colOff>
      <xdr:row>32</xdr:row>
      <xdr:rowOff>69196</xdr:rowOff>
    </xdr:to>
    <xdr:graphicFrame macro="">
      <xdr:nvGraphicFramePr>
        <xdr:cNvPr id="5" name="Chart 4">
          <a:extLst>
            <a:ext uri="{FF2B5EF4-FFF2-40B4-BE49-F238E27FC236}">
              <a16:creationId xmlns:a16="http://schemas.microsoft.com/office/drawing/2014/main" id="{E4E8F080-C7F0-4F11-A1A2-EE21D9A9D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440028</xdr:colOff>
      <xdr:row>14</xdr:row>
      <xdr:rowOff>176226</xdr:rowOff>
    </xdr:from>
    <xdr:to>
      <xdr:col>59</xdr:col>
      <xdr:colOff>430261</xdr:colOff>
      <xdr:row>32</xdr:row>
      <xdr:rowOff>39495</xdr:rowOff>
    </xdr:to>
    <xdr:graphicFrame macro="">
      <xdr:nvGraphicFramePr>
        <xdr:cNvPr id="6" name="Chart 5">
          <a:extLst>
            <a:ext uri="{FF2B5EF4-FFF2-40B4-BE49-F238E27FC236}">
              <a16:creationId xmlns:a16="http://schemas.microsoft.com/office/drawing/2014/main" id="{8D82FB93-99D2-47A6-823E-EB4D08450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464820</xdr:colOff>
      <xdr:row>14</xdr:row>
      <xdr:rowOff>45720</xdr:rowOff>
    </xdr:from>
    <xdr:to>
      <xdr:col>14</xdr:col>
      <xdr:colOff>518160</xdr:colOff>
      <xdr:row>28</xdr:row>
      <xdr:rowOff>137160</xdr:rowOff>
    </xdr:to>
    <xdr:cxnSp macro="">
      <xdr:nvCxnSpPr>
        <xdr:cNvPr id="8" name="Straight Connector 7">
          <a:extLst>
            <a:ext uri="{FF2B5EF4-FFF2-40B4-BE49-F238E27FC236}">
              <a16:creationId xmlns:a16="http://schemas.microsoft.com/office/drawing/2014/main" id="{D42EBE7B-543E-D633-F403-DFFC72D35C7D}"/>
            </a:ext>
          </a:extLst>
        </xdr:cNvPr>
        <xdr:cNvCxnSpPr/>
      </xdr:nvCxnSpPr>
      <xdr:spPr>
        <a:xfrm flipV="1">
          <a:off x="9433560" y="2697480"/>
          <a:ext cx="53340" cy="2651760"/>
        </a:xfrm>
        <a:prstGeom prst="line">
          <a:avLst/>
        </a:prstGeom>
        <a:ln cmpd="dbl">
          <a:solidFill>
            <a:srgbClr val="FF0000"/>
          </a:solidFill>
          <a:prstDash val="lgDash"/>
          <a:headEnd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259080</xdr:colOff>
      <xdr:row>28</xdr:row>
      <xdr:rowOff>152400</xdr:rowOff>
    </xdr:from>
    <xdr:to>
      <xdr:col>15</xdr:col>
      <xdr:colOff>129540</xdr:colOff>
      <xdr:row>31</xdr:row>
      <xdr:rowOff>45720</xdr:rowOff>
    </xdr:to>
    <xdr:sp macro="" textlink="">
      <xdr:nvSpPr>
        <xdr:cNvPr id="16" name="Rectangle 15">
          <a:extLst>
            <a:ext uri="{FF2B5EF4-FFF2-40B4-BE49-F238E27FC236}">
              <a16:creationId xmlns:a16="http://schemas.microsoft.com/office/drawing/2014/main" id="{22078612-2806-28CE-75E0-256985CDAAD8}"/>
            </a:ext>
          </a:extLst>
        </xdr:cNvPr>
        <xdr:cNvSpPr/>
      </xdr:nvSpPr>
      <xdr:spPr>
        <a:xfrm>
          <a:off x="9227820" y="5364480"/>
          <a:ext cx="480060" cy="441960"/>
        </a:xfrm>
        <a:prstGeom prst="rect">
          <a:avLst/>
        </a:prstGeom>
        <a:noFill/>
        <a:ln>
          <a:solidFill>
            <a:srgbClr val="FF0000"/>
          </a:solidFill>
          <a:prstDash val="solid"/>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0</xdr:colOff>
      <xdr:row>14</xdr:row>
      <xdr:rowOff>81680</xdr:rowOff>
    </xdr:from>
    <xdr:ext cx="1219199" cy="253600"/>
    <xdr:sp macro="" textlink="">
      <xdr:nvSpPr>
        <xdr:cNvPr id="24" name="TextBox 23">
          <a:extLst>
            <a:ext uri="{FF2B5EF4-FFF2-40B4-BE49-F238E27FC236}">
              <a16:creationId xmlns:a16="http://schemas.microsoft.com/office/drawing/2014/main" id="{B4CBBF29-9798-7E27-FB3C-3E47E55D2031}"/>
            </a:ext>
          </a:extLst>
        </xdr:cNvPr>
        <xdr:cNvSpPr txBox="1"/>
      </xdr:nvSpPr>
      <xdr:spPr>
        <a:xfrm rot="10800000" flipV="1">
          <a:off x="7627620" y="2642000"/>
          <a:ext cx="1219199" cy="253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PRE -COVID19                </a:t>
          </a:r>
        </a:p>
      </xdr:txBody>
    </xdr:sp>
    <xdr:clientData/>
  </xdr:oneCellAnchor>
</xdr:wsDr>
</file>

<file path=xl/drawings/drawing11.xml><?xml version="1.0" encoding="utf-8"?>
<c:userShapes xmlns:c="http://schemas.openxmlformats.org/drawingml/2006/chart">
  <cdr:relSizeAnchor xmlns:cdr="http://schemas.openxmlformats.org/drawingml/2006/chartDrawing">
    <cdr:from>
      <cdr:x>0.58462</cdr:x>
      <cdr:y>0.13682</cdr:y>
    </cdr:from>
    <cdr:to>
      <cdr:x>0.79231</cdr:x>
      <cdr:y>0.20896</cdr:y>
    </cdr:to>
    <cdr:sp macro="" textlink="">
      <cdr:nvSpPr>
        <cdr:cNvPr id="6" name="TextBox 5">
          <a:extLst xmlns:a="http://schemas.openxmlformats.org/drawingml/2006/main">
            <a:ext uri="{FF2B5EF4-FFF2-40B4-BE49-F238E27FC236}">
              <a16:creationId xmlns:a16="http://schemas.microsoft.com/office/drawing/2014/main" id="{07E39AAE-9FA9-1949-470D-D28CE238547B}"/>
            </a:ext>
          </a:extLst>
        </cdr:cNvPr>
        <cdr:cNvSpPr txBox="1"/>
      </cdr:nvSpPr>
      <cdr:spPr>
        <a:xfrm xmlns:a="http://schemas.openxmlformats.org/drawingml/2006/main">
          <a:off x="3474720" y="419100"/>
          <a:ext cx="1234440" cy="22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t>POST - COVID19</a:t>
          </a:r>
        </a:p>
      </cdr:txBody>
    </cdr:sp>
  </cdr:relSizeAnchor>
  <cdr:relSizeAnchor xmlns:cdr="http://schemas.openxmlformats.org/drawingml/2006/chartDrawing">
    <cdr:from>
      <cdr:x>0.19615</cdr:x>
      <cdr:y>0.90676</cdr:y>
    </cdr:from>
    <cdr:to>
      <cdr:x>0.33333</cdr:x>
      <cdr:y>0.99068</cdr:y>
    </cdr:to>
    <cdr:sp macro="" textlink="">
      <cdr:nvSpPr>
        <cdr:cNvPr id="2" name="TextBox 1">
          <a:extLst xmlns:a="http://schemas.openxmlformats.org/drawingml/2006/main">
            <a:ext uri="{FF2B5EF4-FFF2-40B4-BE49-F238E27FC236}">
              <a16:creationId xmlns:a16="http://schemas.microsoft.com/office/drawing/2014/main" id="{436C3871-4892-3B3E-BE50-A135ACDE804E}"/>
            </a:ext>
          </a:extLst>
        </cdr:cNvPr>
        <cdr:cNvSpPr txBox="1"/>
      </cdr:nvSpPr>
      <cdr:spPr>
        <a:xfrm xmlns:a="http://schemas.openxmlformats.org/drawingml/2006/main">
          <a:off x="1165860" y="2964180"/>
          <a:ext cx="815340" cy="2743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URBAN</a:t>
          </a:r>
        </a:p>
      </cdr:txBody>
    </cdr:sp>
  </cdr:relSizeAnchor>
  <cdr:relSizeAnchor xmlns:cdr="http://schemas.openxmlformats.org/drawingml/2006/chartDrawing">
    <cdr:from>
      <cdr:x>0.39744</cdr:x>
      <cdr:y>0.9159</cdr:y>
    </cdr:from>
    <cdr:to>
      <cdr:x>0.51795</cdr:x>
      <cdr:y>0.98088</cdr:y>
    </cdr:to>
    <cdr:sp macro="" textlink="">
      <cdr:nvSpPr>
        <cdr:cNvPr id="3" name="TextBox 2">
          <a:extLst xmlns:a="http://schemas.openxmlformats.org/drawingml/2006/main">
            <a:ext uri="{FF2B5EF4-FFF2-40B4-BE49-F238E27FC236}">
              <a16:creationId xmlns:a16="http://schemas.microsoft.com/office/drawing/2014/main" id="{191D93F5-D496-873C-57E5-90417FAD2191}"/>
            </a:ext>
          </a:extLst>
        </cdr:cNvPr>
        <cdr:cNvSpPr txBox="1"/>
      </cdr:nvSpPr>
      <cdr:spPr>
        <a:xfrm xmlns:a="http://schemas.openxmlformats.org/drawingml/2006/main">
          <a:off x="2362200" y="3650104"/>
          <a:ext cx="716280" cy="25895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RURAL</a:t>
          </a:r>
        </a:p>
      </cdr:txBody>
    </cdr:sp>
  </cdr:relSizeAnchor>
</c:userShapes>
</file>

<file path=xl/drawings/drawing12.xml><?xml version="1.0" encoding="utf-8"?>
<c:userShapes xmlns:c="http://schemas.openxmlformats.org/drawingml/2006/chart">
  <cdr:relSizeAnchor xmlns:cdr="http://schemas.openxmlformats.org/drawingml/2006/chartDrawing">
    <cdr:from>
      <cdr:x>0.5158</cdr:x>
      <cdr:y>0.11707</cdr:y>
    </cdr:from>
    <cdr:to>
      <cdr:x>0.51868</cdr:x>
      <cdr:y>0.80202</cdr:y>
    </cdr:to>
    <cdr:cxnSp macro="">
      <cdr:nvCxnSpPr>
        <cdr:cNvPr id="3" name="Straight Connector 2">
          <a:extLst xmlns:a="http://schemas.openxmlformats.org/drawingml/2006/main">
            <a:ext uri="{FF2B5EF4-FFF2-40B4-BE49-F238E27FC236}">
              <a16:creationId xmlns:a16="http://schemas.microsoft.com/office/drawing/2014/main" id="{5410DFF6-17FE-2C05-1295-B5E34A5815A9}"/>
            </a:ext>
          </a:extLst>
        </cdr:cNvPr>
        <cdr:cNvCxnSpPr/>
      </cdr:nvCxnSpPr>
      <cdr:spPr>
        <a:xfrm xmlns:a="http://schemas.openxmlformats.org/drawingml/2006/main" flipV="1">
          <a:off x="2735580" y="358140"/>
          <a:ext cx="15240" cy="2095500"/>
        </a:xfrm>
        <a:prstGeom xmlns:a="http://schemas.openxmlformats.org/drawingml/2006/main" prst="line">
          <a:avLst/>
        </a:prstGeom>
        <a:ln xmlns:a="http://schemas.openxmlformats.org/drawingml/2006/main">
          <a:solidFill>
            <a:srgbClr val="FF0000"/>
          </a:solidFill>
          <a:prstDash val="lgDashDot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0.46408</cdr:x>
      <cdr:y>0.79455</cdr:y>
    </cdr:from>
    <cdr:to>
      <cdr:x>0.55891</cdr:x>
      <cdr:y>0.9141</cdr:y>
    </cdr:to>
    <cdr:sp macro="" textlink="">
      <cdr:nvSpPr>
        <cdr:cNvPr id="6" name="Rectangle 5">
          <a:extLst xmlns:a="http://schemas.openxmlformats.org/drawingml/2006/main">
            <a:ext uri="{FF2B5EF4-FFF2-40B4-BE49-F238E27FC236}">
              <a16:creationId xmlns:a16="http://schemas.microsoft.com/office/drawing/2014/main" id="{97B98A12-C2FB-F178-12B9-F9DD23B45E5B}"/>
            </a:ext>
          </a:extLst>
        </cdr:cNvPr>
        <cdr:cNvSpPr/>
      </cdr:nvSpPr>
      <cdr:spPr>
        <a:xfrm xmlns:a="http://schemas.openxmlformats.org/drawingml/2006/main">
          <a:off x="2461260" y="2430780"/>
          <a:ext cx="502920" cy="365760"/>
        </a:xfrm>
        <a:prstGeom xmlns:a="http://schemas.openxmlformats.org/drawingml/2006/main" prst="rect">
          <a:avLst/>
        </a:prstGeom>
        <a:noFill xmlns:a="http://schemas.openxmlformats.org/drawingml/2006/main"/>
        <a:ln xmlns:a="http://schemas.openxmlformats.org/drawingml/2006/main" cmpd="sng">
          <a:solidFill>
            <a:srgbClr val="FF0000"/>
          </a:solidFill>
          <a:prstDash val="solid"/>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0.19253</cdr:x>
      <cdr:y>0.15443</cdr:y>
    </cdr:from>
    <cdr:to>
      <cdr:x>0.43391</cdr:x>
      <cdr:y>0.22915</cdr:y>
    </cdr:to>
    <cdr:sp macro="" textlink="">
      <cdr:nvSpPr>
        <cdr:cNvPr id="11" name="TextBox 10">
          <a:extLst xmlns:a="http://schemas.openxmlformats.org/drawingml/2006/main">
            <a:ext uri="{FF2B5EF4-FFF2-40B4-BE49-F238E27FC236}">
              <a16:creationId xmlns:a16="http://schemas.microsoft.com/office/drawing/2014/main" id="{5FA3EC6D-2095-75FD-2B4E-6B02241C7060}"/>
            </a:ext>
          </a:extLst>
        </cdr:cNvPr>
        <cdr:cNvSpPr txBox="1"/>
      </cdr:nvSpPr>
      <cdr:spPr>
        <a:xfrm xmlns:a="http://schemas.openxmlformats.org/drawingml/2006/main">
          <a:off x="1021080" y="472440"/>
          <a:ext cx="128016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t>PRE-COVID19</a:t>
          </a:r>
        </a:p>
      </cdr:txBody>
    </cdr:sp>
  </cdr:relSizeAnchor>
  <cdr:relSizeAnchor xmlns:cdr="http://schemas.openxmlformats.org/drawingml/2006/chartDrawing">
    <cdr:from>
      <cdr:x>0.65374</cdr:x>
      <cdr:y>0.15692</cdr:y>
    </cdr:from>
    <cdr:to>
      <cdr:x>0.8908</cdr:x>
      <cdr:y>0.24658</cdr:y>
    </cdr:to>
    <cdr:sp macro="" textlink="">
      <cdr:nvSpPr>
        <cdr:cNvPr id="12" name="TextBox 11">
          <a:extLst xmlns:a="http://schemas.openxmlformats.org/drawingml/2006/main">
            <a:ext uri="{FF2B5EF4-FFF2-40B4-BE49-F238E27FC236}">
              <a16:creationId xmlns:a16="http://schemas.microsoft.com/office/drawing/2014/main" id="{612B74F7-5F69-1512-ED01-FA7C8723CE27}"/>
            </a:ext>
          </a:extLst>
        </cdr:cNvPr>
        <cdr:cNvSpPr txBox="1"/>
      </cdr:nvSpPr>
      <cdr:spPr>
        <a:xfrm xmlns:a="http://schemas.openxmlformats.org/drawingml/2006/main">
          <a:off x="3467100" y="480060"/>
          <a:ext cx="1257300" cy="2743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t>POST-COVID19</a:t>
          </a:r>
        </a:p>
      </cdr:txBody>
    </cdr:sp>
  </cdr:relSizeAnchor>
  <cdr:relSizeAnchor xmlns:cdr="http://schemas.openxmlformats.org/drawingml/2006/chartDrawing">
    <cdr:from>
      <cdr:x>0.18966</cdr:x>
      <cdr:y>0.90619</cdr:y>
    </cdr:from>
    <cdr:to>
      <cdr:x>0.3477</cdr:x>
      <cdr:y>0.97605</cdr:y>
    </cdr:to>
    <cdr:sp macro="" textlink="">
      <cdr:nvSpPr>
        <cdr:cNvPr id="2" name="TextBox 1">
          <a:extLst xmlns:a="http://schemas.openxmlformats.org/drawingml/2006/main">
            <a:ext uri="{FF2B5EF4-FFF2-40B4-BE49-F238E27FC236}">
              <a16:creationId xmlns:a16="http://schemas.microsoft.com/office/drawing/2014/main" id="{071C2801-D605-CDCE-FBC2-0C9D17629994}"/>
            </a:ext>
          </a:extLst>
        </cdr:cNvPr>
        <cdr:cNvSpPr txBox="1"/>
      </cdr:nvSpPr>
      <cdr:spPr>
        <a:xfrm xmlns:a="http://schemas.openxmlformats.org/drawingml/2006/main">
          <a:off x="1005840" y="3459480"/>
          <a:ext cx="838200"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URBAN</a:t>
          </a:r>
        </a:p>
      </cdr:txBody>
    </cdr:sp>
  </cdr:relSizeAnchor>
  <cdr:relSizeAnchor xmlns:cdr="http://schemas.openxmlformats.org/drawingml/2006/chartDrawing">
    <cdr:from>
      <cdr:x>0.38649</cdr:x>
      <cdr:y>0.90619</cdr:y>
    </cdr:from>
    <cdr:to>
      <cdr:x>0.54167</cdr:x>
      <cdr:y>0.97006</cdr:y>
    </cdr:to>
    <cdr:sp macro="" textlink="">
      <cdr:nvSpPr>
        <cdr:cNvPr id="4" name="TextBox 3">
          <a:extLst xmlns:a="http://schemas.openxmlformats.org/drawingml/2006/main">
            <a:ext uri="{FF2B5EF4-FFF2-40B4-BE49-F238E27FC236}">
              <a16:creationId xmlns:a16="http://schemas.microsoft.com/office/drawing/2014/main" id="{3703B0AA-B2C1-746E-F9C1-8C387D9ECD2D}"/>
            </a:ext>
          </a:extLst>
        </cdr:cNvPr>
        <cdr:cNvSpPr txBox="1"/>
      </cdr:nvSpPr>
      <cdr:spPr>
        <a:xfrm xmlns:a="http://schemas.openxmlformats.org/drawingml/2006/main">
          <a:off x="2049780" y="3459480"/>
          <a:ext cx="822960" cy="2438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RURAL</a:t>
          </a:r>
        </a:p>
      </cdr:txBody>
    </cdr:sp>
  </cdr:relSizeAnchor>
</c:userShapes>
</file>

<file path=xl/drawings/drawing13.xml><?xml version="1.0" encoding="utf-8"?>
<c:userShapes xmlns:c="http://schemas.openxmlformats.org/drawingml/2006/chart">
  <cdr:relSizeAnchor xmlns:cdr="http://schemas.openxmlformats.org/drawingml/2006/chartDrawing">
    <cdr:from>
      <cdr:x>0.50904</cdr:x>
      <cdr:y>0.11061</cdr:y>
    </cdr:from>
    <cdr:to>
      <cdr:x>0.51321</cdr:x>
      <cdr:y>0.70048</cdr:y>
    </cdr:to>
    <cdr:cxnSp macro="">
      <cdr:nvCxnSpPr>
        <cdr:cNvPr id="3" name="Straight Connector 2">
          <a:extLst xmlns:a="http://schemas.openxmlformats.org/drawingml/2006/main">
            <a:ext uri="{FF2B5EF4-FFF2-40B4-BE49-F238E27FC236}">
              <a16:creationId xmlns:a16="http://schemas.microsoft.com/office/drawing/2014/main" id="{A02B9148-F519-5085-9733-394B79A24D03}"/>
            </a:ext>
          </a:extLst>
        </cdr:cNvPr>
        <cdr:cNvCxnSpPr/>
      </cdr:nvCxnSpPr>
      <cdr:spPr>
        <a:xfrm xmlns:a="http://schemas.openxmlformats.org/drawingml/2006/main" flipH="1" flipV="1">
          <a:off x="2788920" y="348937"/>
          <a:ext cx="22860" cy="1860863"/>
        </a:xfrm>
        <a:prstGeom xmlns:a="http://schemas.openxmlformats.org/drawingml/2006/main" prst="line">
          <a:avLst/>
        </a:prstGeom>
        <a:ln xmlns:a="http://schemas.openxmlformats.org/drawingml/2006/main">
          <a:solidFill>
            <a:srgbClr val="FF0000"/>
          </a:solidFill>
          <a:prstDash val="lgDash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0.46592</cdr:x>
      <cdr:y>0.70871</cdr:y>
    </cdr:from>
    <cdr:to>
      <cdr:x>0.54937</cdr:x>
      <cdr:y>0.81022</cdr:y>
    </cdr:to>
    <cdr:sp macro="" textlink="">
      <cdr:nvSpPr>
        <cdr:cNvPr id="5" name="Rectangle 4">
          <a:extLst xmlns:a="http://schemas.openxmlformats.org/drawingml/2006/main">
            <a:ext uri="{FF2B5EF4-FFF2-40B4-BE49-F238E27FC236}">
              <a16:creationId xmlns:a16="http://schemas.microsoft.com/office/drawing/2014/main" id="{E4BF75D2-36BB-EE5D-B505-4E8E4130ACF2}"/>
            </a:ext>
          </a:extLst>
        </cdr:cNvPr>
        <cdr:cNvSpPr/>
      </cdr:nvSpPr>
      <cdr:spPr>
        <a:xfrm xmlns:a="http://schemas.openxmlformats.org/drawingml/2006/main">
          <a:off x="2552700" y="2235759"/>
          <a:ext cx="457200" cy="320240"/>
        </a:xfrm>
        <a:prstGeom xmlns:a="http://schemas.openxmlformats.org/drawingml/2006/main" prst="rect">
          <a:avLst/>
        </a:prstGeom>
        <a:noFill xmlns:a="http://schemas.openxmlformats.org/drawingml/2006/main"/>
        <a:ln xmlns:a="http://schemas.openxmlformats.org/drawingml/2006/main">
          <a:solidFill>
            <a:srgbClr val="FF0000"/>
          </a:solidFill>
          <a:prstDash val="solid"/>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0.16273</cdr:x>
      <cdr:y>0.13285</cdr:y>
    </cdr:from>
    <cdr:to>
      <cdr:x>0.43394</cdr:x>
      <cdr:y>0.22947</cdr:y>
    </cdr:to>
    <cdr:sp macro="" textlink="">
      <cdr:nvSpPr>
        <cdr:cNvPr id="6" name="TextBox 5">
          <a:extLst xmlns:a="http://schemas.openxmlformats.org/drawingml/2006/main">
            <a:ext uri="{FF2B5EF4-FFF2-40B4-BE49-F238E27FC236}">
              <a16:creationId xmlns:a16="http://schemas.microsoft.com/office/drawing/2014/main" id="{2F398FE4-B5F7-73F7-1A73-C64BB9C602A8}"/>
            </a:ext>
          </a:extLst>
        </cdr:cNvPr>
        <cdr:cNvSpPr txBox="1"/>
      </cdr:nvSpPr>
      <cdr:spPr>
        <a:xfrm xmlns:a="http://schemas.openxmlformats.org/drawingml/2006/main">
          <a:off x="891540" y="419100"/>
          <a:ext cx="148590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t>PRE-COVID19</a:t>
          </a:r>
        </a:p>
      </cdr:txBody>
    </cdr:sp>
  </cdr:relSizeAnchor>
  <cdr:relSizeAnchor xmlns:cdr="http://schemas.openxmlformats.org/drawingml/2006/chartDrawing">
    <cdr:from>
      <cdr:x>0.67872</cdr:x>
      <cdr:y>0.13285</cdr:y>
    </cdr:from>
    <cdr:to>
      <cdr:x>0.9388</cdr:x>
      <cdr:y>0.21014</cdr:y>
    </cdr:to>
    <cdr:sp macro="" textlink="">
      <cdr:nvSpPr>
        <cdr:cNvPr id="7" name="TextBox 6">
          <a:extLst xmlns:a="http://schemas.openxmlformats.org/drawingml/2006/main">
            <a:ext uri="{FF2B5EF4-FFF2-40B4-BE49-F238E27FC236}">
              <a16:creationId xmlns:a16="http://schemas.microsoft.com/office/drawing/2014/main" id="{0B406D2C-EA16-A8B9-7CA1-649A78C66B9A}"/>
            </a:ext>
          </a:extLst>
        </cdr:cNvPr>
        <cdr:cNvSpPr txBox="1"/>
      </cdr:nvSpPr>
      <cdr:spPr>
        <a:xfrm xmlns:a="http://schemas.openxmlformats.org/drawingml/2006/main">
          <a:off x="3718560" y="419100"/>
          <a:ext cx="1424940" cy="2438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t>POST-COVID19</a:t>
          </a:r>
        </a:p>
      </cdr:txBody>
    </cdr:sp>
  </cdr:relSizeAnchor>
  <cdr:relSizeAnchor xmlns:cdr="http://schemas.openxmlformats.org/drawingml/2006/chartDrawing">
    <cdr:from>
      <cdr:x>0.14939</cdr:x>
      <cdr:y>0.89538</cdr:y>
    </cdr:from>
    <cdr:to>
      <cdr:x>0.26558</cdr:x>
      <cdr:y>0.98575</cdr:y>
    </cdr:to>
    <cdr:sp macro="" textlink="">
      <cdr:nvSpPr>
        <cdr:cNvPr id="4" name="TextBox 3">
          <a:extLst xmlns:a="http://schemas.openxmlformats.org/drawingml/2006/main">
            <a:ext uri="{FF2B5EF4-FFF2-40B4-BE49-F238E27FC236}">
              <a16:creationId xmlns:a16="http://schemas.microsoft.com/office/drawing/2014/main" id="{52567739-FBD1-1687-4320-26AA60334FBA}"/>
            </a:ext>
          </a:extLst>
        </cdr:cNvPr>
        <cdr:cNvSpPr txBox="1"/>
      </cdr:nvSpPr>
      <cdr:spPr>
        <a:xfrm xmlns:a="http://schemas.openxmlformats.org/drawingml/2006/main">
          <a:off x="821028" y="2818114"/>
          <a:ext cx="638578" cy="28440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URBAN</a:t>
          </a:r>
        </a:p>
      </cdr:txBody>
    </cdr:sp>
  </cdr:relSizeAnchor>
  <cdr:relSizeAnchor xmlns:cdr="http://schemas.openxmlformats.org/drawingml/2006/chartDrawing">
    <cdr:from>
      <cdr:x>0.35443</cdr:x>
      <cdr:y>0.90902</cdr:y>
    </cdr:from>
    <cdr:to>
      <cdr:x>0.52081</cdr:x>
      <cdr:y>1</cdr:y>
    </cdr:to>
    <cdr:sp macro="" textlink="">
      <cdr:nvSpPr>
        <cdr:cNvPr id="8" name="TextBox 7">
          <a:extLst xmlns:a="http://schemas.openxmlformats.org/drawingml/2006/main">
            <a:ext uri="{FF2B5EF4-FFF2-40B4-BE49-F238E27FC236}">
              <a16:creationId xmlns:a16="http://schemas.microsoft.com/office/drawing/2014/main" id="{ADD8EC51-67F3-3D33-0B9D-E1D0998BD5C6}"/>
            </a:ext>
          </a:extLst>
        </cdr:cNvPr>
        <cdr:cNvSpPr txBox="1"/>
      </cdr:nvSpPr>
      <cdr:spPr>
        <a:xfrm xmlns:a="http://schemas.openxmlformats.org/drawingml/2006/main">
          <a:off x="1947929" y="2861042"/>
          <a:ext cx="914400" cy="2863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0.33978</cdr:x>
      <cdr:y>0.89538</cdr:y>
    </cdr:from>
    <cdr:to>
      <cdr:x>0.46476</cdr:x>
      <cdr:y>0.9687</cdr:y>
    </cdr:to>
    <cdr:sp macro="" textlink="">
      <cdr:nvSpPr>
        <cdr:cNvPr id="9" name="TextBox 8">
          <a:extLst xmlns:a="http://schemas.openxmlformats.org/drawingml/2006/main">
            <a:ext uri="{FF2B5EF4-FFF2-40B4-BE49-F238E27FC236}">
              <a16:creationId xmlns:a16="http://schemas.microsoft.com/office/drawing/2014/main" id="{BBB34DF9-8F34-3A51-6A5E-29B6B14D535F}"/>
            </a:ext>
          </a:extLst>
        </cdr:cNvPr>
        <cdr:cNvSpPr txBox="1"/>
      </cdr:nvSpPr>
      <cdr:spPr>
        <a:xfrm xmlns:a="http://schemas.openxmlformats.org/drawingml/2006/main">
          <a:off x="1867437" y="2818112"/>
          <a:ext cx="686874" cy="2307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RURAL</a:t>
          </a:r>
        </a:p>
      </cdr:txBody>
    </cdr:sp>
  </cdr:relSizeAnchor>
</c:userShapes>
</file>

<file path=xl/drawings/drawing14.xml><?xml version="1.0" encoding="utf-8"?>
<xdr:wsDr xmlns:xdr="http://schemas.openxmlformats.org/drawingml/2006/spreadsheetDrawing" xmlns:a="http://schemas.openxmlformats.org/drawingml/2006/main">
  <xdr:twoCellAnchor>
    <xdr:from>
      <xdr:col>5</xdr:col>
      <xdr:colOff>563880</xdr:colOff>
      <xdr:row>33</xdr:row>
      <xdr:rowOff>99060</xdr:rowOff>
    </xdr:from>
    <xdr:to>
      <xdr:col>5</xdr:col>
      <xdr:colOff>838200</xdr:colOff>
      <xdr:row>35</xdr:row>
      <xdr:rowOff>160020</xdr:rowOff>
    </xdr:to>
    <xdr:sp macro="" textlink="">
      <xdr:nvSpPr>
        <xdr:cNvPr id="2" name="Arrow: Down 1">
          <a:extLst>
            <a:ext uri="{FF2B5EF4-FFF2-40B4-BE49-F238E27FC236}">
              <a16:creationId xmlns:a16="http://schemas.microsoft.com/office/drawing/2014/main" id="{2882937E-0CA8-DC3D-05EB-0C2967FA8032}"/>
            </a:ext>
          </a:extLst>
        </xdr:cNvPr>
        <xdr:cNvSpPr/>
      </xdr:nvSpPr>
      <xdr:spPr>
        <a:xfrm>
          <a:off x="4312920" y="6149340"/>
          <a:ext cx="274320" cy="426720"/>
        </a:xfrm>
        <a:prstGeom prst="down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533400</xdr:colOff>
      <xdr:row>35</xdr:row>
      <xdr:rowOff>137160</xdr:rowOff>
    </xdr:from>
    <xdr:to>
      <xdr:col>9</xdr:col>
      <xdr:colOff>541020</xdr:colOff>
      <xdr:row>38</xdr:row>
      <xdr:rowOff>144780</xdr:rowOff>
    </xdr:to>
    <xdr:sp macro="" textlink="">
      <xdr:nvSpPr>
        <xdr:cNvPr id="3" name="Speech Bubble: Rectangle with Corners Rounded 2">
          <a:extLst>
            <a:ext uri="{FF2B5EF4-FFF2-40B4-BE49-F238E27FC236}">
              <a16:creationId xmlns:a16="http://schemas.microsoft.com/office/drawing/2014/main" id="{1CFEB677-9ED1-6C36-0271-9261EFD5AA88}"/>
            </a:ext>
          </a:extLst>
        </xdr:cNvPr>
        <xdr:cNvSpPr/>
      </xdr:nvSpPr>
      <xdr:spPr>
        <a:xfrm>
          <a:off x="2834640" y="6553200"/>
          <a:ext cx="4160520" cy="556260"/>
        </a:xfrm>
        <a:prstGeom prst="wedgeRoundRectCallout">
          <a:avLst/>
        </a:prstGeom>
        <a:no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noFill/>
            </a:rPr>
            <a:t>eisasf4rrfrr4g</a:t>
          </a:r>
          <a:r>
            <a:rPr lang="en-IN" sz="1100">
              <a:noFill/>
            </a:rPr>
            <a:t>ffefgfrfgr</a:t>
          </a:r>
        </a:p>
      </xdr:txBody>
    </xdr:sp>
    <xdr:clientData/>
  </xdr:twoCellAnchor>
  <xdr:twoCellAnchor>
    <xdr:from>
      <xdr:col>11</xdr:col>
      <xdr:colOff>359595</xdr:colOff>
      <xdr:row>12</xdr:row>
      <xdr:rowOff>0</xdr:rowOff>
    </xdr:from>
    <xdr:to>
      <xdr:col>22</xdr:col>
      <xdr:colOff>222606</xdr:colOff>
      <xdr:row>33</xdr:row>
      <xdr:rowOff>25686</xdr:rowOff>
    </xdr:to>
    <xdr:graphicFrame macro="">
      <xdr:nvGraphicFramePr>
        <xdr:cNvPr id="4" name="Chart 3">
          <a:extLst>
            <a:ext uri="{FF2B5EF4-FFF2-40B4-BE49-F238E27FC236}">
              <a16:creationId xmlns:a16="http://schemas.microsoft.com/office/drawing/2014/main" id="{EC3DA169-D1F3-4F6A-BAF7-909F175D8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asan%20Rana\Downloads\All_India_Index_Upto_April23%20(1).xlsx" TargetMode="External"/><Relationship Id="rId1" Type="http://schemas.openxmlformats.org/officeDocument/2006/relationships/externalLinkPath" Target="file:///C:\Users\Hasan%20Rana\Downloads\All_India_Index_Upto_April23%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l_India_Index_Upto_April23 (1"/>
      <sheetName val="Main data"/>
      <sheetName val="Sheet1"/>
      <sheetName val="1.contribution"/>
      <sheetName val="2.Y_O_Y"/>
      <sheetName val="Sheet2"/>
      <sheetName val="4.covid"/>
      <sheetName val="3.M_O_M"/>
      <sheetName val="3.Y-O-Y"/>
      <sheetName val="notes"/>
      <sheetName val="oil price "/>
    </sheetNames>
    <sheetDataSet>
      <sheetData sheetId="0"/>
      <sheetData sheetId="1"/>
      <sheetData sheetId="2"/>
      <sheetData sheetId="3">
        <row r="5">
          <cell r="AM5" t="str">
            <v>Essential food</v>
          </cell>
          <cell r="AP5">
            <v>0.35487368261812313</v>
          </cell>
          <cell r="AT5" t="str">
            <v>Essential food</v>
          </cell>
          <cell r="AW5">
            <v>0.26192381413179</v>
          </cell>
        </row>
        <row r="6">
          <cell r="AM6" t="str">
            <v>Food &amp; beverages</v>
          </cell>
          <cell r="AP6">
            <v>0.22676617417175129</v>
          </cell>
          <cell r="AT6" t="str">
            <v>Food &amp; beverages</v>
          </cell>
          <cell r="AW6">
            <v>0.16737071291661237</v>
          </cell>
        </row>
        <row r="7">
          <cell r="AM7" t="str">
            <v>Personal items</v>
          </cell>
          <cell r="AP7">
            <v>0.23047249256215022</v>
          </cell>
          <cell r="AT7" t="str">
            <v>Personal items</v>
          </cell>
          <cell r="AW7">
            <v>0.1701062582578112</v>
          </cell>
        </row>
        <row r="8">
          <cell r="AM8" t="str">
            <v>Home services</v>
          </cell>
          <cell r="AP8">
            <v>0.18135747062679641</v>
          </cell>
          <cell r="AT8" t="str">
            <v>Home services</v>
          </cell>
          <cell r="AW8">
            <v>0.13385563019893182</v>
          </cell>
        </row>
        <row r="9">
          <cell r="AM9" t="str">
            <v>Essential services</v>
          </cell>
          <cell r="AP9">
            <v>0.12936816096011297</v>
          </cell>
          <cell r="AT9" t="str">
            <v>Essential services</v>
          </cell>
          <cell r="AW9">
            <v>9.5483558814224823E-2</v>
          </cell>
        </row>
        <row r="10">
          <cell r="AM10" t="str">
            <v>Intoxicants</v>
          </cell>
          <cell r="AP10">
            <v>5.0678231052392719E-2</v>
          </cell>
          <cell r="AT10" t="str">
            <v>Intoxicants</v>
          </cell>
          <cell r="AW10">
            <v>3.7404395481697897E-2</v>
          </cell>
        </row>
        <row r="11">
          <cell r="AM11" t="str">
            <v>Healthcare</v>
          </cell>
          <cell r="AP11">
            <v>0.18135747062679641</v>
          </cell>
          <cell r="AT11" t="str">
            <v>Healthcare</v>
          </cell>
          <cell r="AW11">
            <v>0.13385563019893182</v>
          </cell>
        </row>
      </sheetData>
      <sheetData sheetId="4">
        <row r="74">
          <cell r="D74" t="str">
            <v>Vegetables</v>
          </cell>
          <cell r="E74" t="str">
            <v>Pan, tobacco and intoxicants</v>
          </cell>
        </row>
        <row r="75">
          <cell r="C75" t="str">
            <v>January</v>
          </cell>
          <cell r="D75">
            <v>131.30000000000001</v>
          </cell>
          <cell r="E75">
            <v>163.19999999999999</v>
          </cell>
        </row>
        <row r="76">
          <cell r="C76" t="str">
            <v>February</v>
          </cell>
          <cell r="D76">
            <v>129.69999999999999</v>
          </cell>
          <cell r="E76">
            <v>163.4</v>
          </cell>
        </row>
        <row r="77">
          <cell r="C77" t="str">
            <v>March</v>
          </cell>
          <cell r="D77">
            <v>132.6</v>
          </cell>
          <cell r="E77">
            <v>163.5</v>
          </cell>
        </row>
        <row r="78">
          <cell r="C78" t="str">
            <v>April</v>
          </cell>
          <cell r="D78">
            <v>132.6</v>
          </cell>
          <cell r="E78">
            <v>163.5</v>
          </cell>
        </row>
        <row r="79">
          <cell r="C79" t="str">
            <v>May</v>
          </cell>
          <cell r="D79">
            <v>143</v>
          </cell>
          <cell r="E79">
            <v>164.1</v>
          </cell>
        </row>
        <row r="80">
          <cell r="C80" t="str">
            <v>June</v>
          </cell>
          <cell r="D80">
            <v>150.5</v>
          </cell>
          <cell r="E80">
            <v>164.9</v>
          </cell>
        </row>
        <row r="81">
          <cell r="C81" t="str">
            <v>July</v>
          </cell>
          <cell r="D81">
            <v>160.30000000000001</v>
          </cell>
          <cell r="E81">
            <v>165.2</v>
          </cell>
        </row>
        <row r="82">
          <cell r="C82" t="str">
            <v>August</v>
          </cell>
          <cell r="D82">
            <v>167.4</v>
          </cell>
          <cell r="E82">
            <v>165.8</v>
          </cell>
        </row>
        <row r="83">
          <cell r="C83" t="str">
            <v>September</v>
          </cell>
          <cell r="D83">
            <v>173.2</v>
          </cell>
          <cell r="E83">
            <v>166.5</v>
          </cell>
        </row>
        <row r="84">
          <cell r="C84" t="str">
            <v>October</v>
          </cell>
          <cell r="D84">
            <v>188.4</v>
          </cell>
          <cell r="E84">
            <v>167.1</v>
          </cell>
        </row>
        <row r="85">
          <cell r="C85" t="str">
            <v>November</v>
          </cell>
          <cell r="D85">
            <v>199.6</v>
          </cell>
          <cell r="E85">
            <v>167.9</v>
          </cell>
        </row>
        <row r="86">
          <cell r="C86" t="str">
            <v>December</v>
          </cell>
          <cell r="D86">
            <v>217</v>
          </cell>
          <cell r="E86">
            <v>168.5</v>
          </cell>
        </row>
      </sheetData>
      <sheetData sheetId="5"/>
      <sheetData sheetId="6"/>
      <sheetData sheetId="7">
        <row r="2">
          <cell r="AD2" t="str">
            <v>RURAL</v>
          </cell>
          <cell r="AP2">
            <v>1.1183803377243473</v>
          </cell>
          <cell r="AQ2" t="str">
            <v>2022  June</v>
          </cell>
        </row>
        <row r="3">
          <cell r="AC3" t="str">
            <v>2022  June</v>
          </cell>
          <cell r="AD3">
            <v>0.96551104724268</v>
          </cell>
          <cell r="AP3">
            <v>0.17923497267761154</v>
          </cell>
          <cell r="AQ3" t="str">
            <v>2022  July</v>
          </cell>
        </row>
        <row r="4">
          <cell r="AC4" t="str">
            <v>2022  July</v>
          </cell>
          <cell r="AD4">
            <v>0.18680781034558636</v>
          </cell>
          <cell r="AP4">
            <v>9.163902949903599E-2</v>
          </cell>
          <cell r="AQ4" t="str">
            <v>2022 Aug</v>
          </cell>
        </row>
        <row r="5">
          <cell r="AC5" t="str">
            <v>2022 Aug</v>
          </cell>
          <cell r="AD5">
            <v>0.14650388457270508</v>
          </cell>
          <cell r="AP5">
            <v>0.55369054366304926</v>
          </cell>
          <cell r="AQ5" t="str">
            <v>2022 Sep</v>
          </cell>
        </row>
        <row r="6">
          <cell r="AC6" t="str">
            <v>2022 Sep</v>
          </cell>
          <cell r="AD6">
            <v>0.53196205337352598</v>
          </cell>
          <cell r="AP6">
            <v>0.68938605619149096</v>
          </cell>
          <cell r="AQ6" t="str">
            <v>2022 Oct</v>
          </cell>
        </row>
        <row r="7">
          <cell r="AC7" t="str">
            <v>2022 Oct</v>
          </cell>
          <cell r="AD7">
            <v>0.73639650762853059</v>
          </cell>
          <cell r="AP7">
            <v>-0.34017999397149767</v>
          </cell>
          <cell r="AQ7" t="str">
            <v>2022 Nov</v>
          </cell>
        </row>
        <row r="8">
          <cell r="AC8" t="str">
            <v>2022 Nov</v>
          </cell>
          <cell r="AD8">
            <v>0.14007441453271255</v>
          </cell>
          <cell r="AP8">
            <v>-0.80366401659176923</v>
          </cell>
          <cell r="AQ8" t="str">
            <v>2022 Dec</v>
          </cell>
        </row>
        <row r="9">
          <cell r="AC9" t="str">
            <v>2022 Dec</v>
          </cell>
          <cell r="AD9">
            <v>-0.46334746688811712</v>
          </cell>
          <cell r="AP9">
            <v>0.62723233731159656</v>
          </cell>
          <cell r="AQ9" t="str">
            <v>2023 Jan</v>
          </cell>
        </row>
        <row r="10">
          <cell r="AC10" t="str">
            <v>2023 Jan</v>
          </cell>
          <cell r="AD10">
            <v>0.26788459004872223</v>
          </cell>
          <cell r="AP10">
            <v>-0.30300406891178255</v>
          </cell>
          <cell r="AQ10" t="str">
            <v>2023 Feb</v>
          </cell>
        </row>
        <row r="11">
          <cell r="AC11" t="str">
            <v>2023 Feb</v>
          </cell>
          <cell r="AD11">
            <v>-0.76646811492641909</v>
          </cell>
          <cell r="AP11">
            <v>8.6835706842574717E-3</v>
          </cell>
          <cell r="AQ11" t="str">
            <v>2023 March</v>
          </cell>
        </row>
        <row r="12">
          <cell r="AC12" t="str">
            <v>2023 March</v>
          </cell>
          <cell r="AD12">
            <v>4.413646996529276E-3</v>
          </cell>
          <cell r="AP12">
            <v>0.62082139446037088</v>
          </cell>
          <cell r="AQ12" t="str">
            <v>2023 April</v>
          </cell>
        </row>
        <row r="13">
          <cell r="AC13" t="str">
            <v>2023 April</v>
          </cell>
          <cell r="AD13">
            <v>0.37072998499424642</v>
          </cell>
          <cell r="AP13">
            <v>0.75074427233896068</v>
          </cell>
          <cell r="AQ13" t="str">
            <v>2023 May</v>
          </cell>
        </row>
        <row r="14">
          <cell r="AC14" t="str">
            <v>2023 May</v>
          </cell>
          <cell r="AD14">
            <v>0.72552985665288905</v>
          </cell>
        </row>
      </sheetData>
      <sheetData sheetId="8">
        <row r="2">
          <cell r="W2" t="str">
            <v>RURAL</v>
          </cell>
          <cell r="X2" t="str">
            <v>URBAN</v>
          </cell>
          <cell r="Y2" t="str">
            <v>R+U</v>
          </cell>
        </row>
        <row r="3">
          <cell r="V3" t="str">
            <v>Meat and fish</v>
          </cell>
          <cell r="W3">
            <v>-2.6243093922651899</v>
          </cell>
          <cell r="X3">
            <v>-1.7905102954341987</v>
          </cell>
          <cell r="Y3">
            <v>-2.3245214220601613</v>
          </cell>
        </row>
        <row r="4">
          <cell r="V4" t="str">
            <v>Egg</v>
          </cell>
          <cell r="W4">
            <v>0.82547169811321097</v>
          </cell>
          <cell r="X4">
            <v>2.2569444444444313</v>
          </cell>
          <cell r="Y4">
            <v>1.4051522248243427</v>
          </cell>
        </row>
        <row r="5">
          <cell r="V5" t="str">
            <v>Milk and products</v>
          </cell>
          <cell r="W5">
            <v>8.5852478839177682</v>
          </cell>
          <cell r="X5">
            <v>7.8125</v>
          </cell>
          <cell r="Y5">
            <v>8.2629674306393177</v>
          </cell>
        </row>
        <row r="6">
          <cell r="V6" t="str">
            <v>Oils and fats</v>
          </cell>
          <cell r="W6">
            <v>-16.722729456991821</v>
          </cell>
          <cell r="X6">
            <v>-12.831389183457045</v>
          </cell>
          <cell r="Y6">
            <v>-15.380786460925835</v>
          </cell>
        </row>
        <row r="7">
          <cell r="V7" t="str">
            <v>Fruits</v>
          </cell>
          <cell r="W7">
            <v>1.9300361881785213</v>
          </cell>
          <cell r="X7">
            <v>0.97645031591040621</v>
          </cell>
          <cell r="Y7">
            <v>1.4731879787860933</v>
          </cell>
        </row>
        <row r="8">
          <cell r="V8" t="str">
            <v>Vegetables</v>
          </cell>
          <cell r="W8">
            <v>-11.117752540346695</v>
          </cell>
          <cell r="X8">
            <v>-12.529550827423167</v>
          </cell>
          <cell r="Y8">
            <v>-11.684037301151953</v>
          </cell>
        </row>
        <row r="9">
          <cell r="V9" t="str">
            <v>Pulses and products</v>
          </cell>
          <cell r="W9">
            <v>6.2575941676792297</v>
          </cell>
          <cell r="X9">
            <v>8.1295843520782469</v>
          </cell>
          <cell r="Y9">
            <v>6.8776628119293877</v>
          </cell>
        </row>
        <row r="10">
          <cell r="V10" t="str">
            <v>Sugar and Confectionery</v>
          </cell>
          <cell r="W10">
            <v>2.3509655751469452</v>
          </cell>
          <cell r="X10">
            <v>2.3064250411861593</v>
          </cell>
          <cell r="Y10">
            <v>2.3352793994995804</v>
          </cell>
        </row>
        <row r="11">
          <cell r="V11" t="str">
            <v>Spices</v>
          </cell>
          <cell r="W11">
            <v>16.993118051879296</v>
          </cell>
          <cell r="X11">
            <v>15.476839237057224</v>
          </cell>
          <cell r="Y11">
            <v>16.515232495991452</v>
          </cell>
        </row>
        <row r="12">
          <cell r="V12" t="str">
            <v>Non-alcoholic beverages</v>
          </cell>
          <cell r="W12">
            <v>2.5832376578645238</v>
          </cell>
          <cell r="X12">
            <v>4.2740414833438161</v>
          </cell>
          <cell r="Y12">
            <v>3.2757593805836809</v>
          </cell>
        </row>
        <row r="13">
          <cell r="V13" t="str">
            <v>Prepared meals, snacks, sweets etc.</v>
          </cell>
          <cell r="W13">
            <v>5.0577240241891088</v>
          </cell>
          <cell r="X13">
            <v>6.1191626409017585</v>
          </cell>
          <cell r="Y13">
            <v>5.6008700380641558</v>
          </cell>
        </row>
        <row r="14">
          <cell r="V14" t="str">
            <v>Food and beverages</v>
          </cell>
          <cell r="W14">
            <v>2.5522041763341101</v>
          </cell>
          <cell r="X14">
            <v>2.1193530395984284</v>
          </cell>
          <cell r="Y14">
            <v>2.4013722126929609</v>
          </cell>
        </row>
        <row r="15">
          <cell r="V15" t="str">
            <v>Cereals and products</v>
          </cell>
          <cell r="W15">
            <v>12.613784135240557</v>
          </cell>
          <cell r="X15">
            <v>10.920634920634914</v>
          </cell>
          <cell r="Y15">
            <v>12.064516129032251</v>
          </cell>
        </row>
      </sheetData>
      <sheetData sheetId="9">
        <row r="2">
          <cell r="AR2" t="str">
            <v>e.services</v>
          </cell>
        </row>
        <row r="3">
          <cell r="AQ3">
            <v>49.47</v>
          </cell>
          <cell r="AR3">
            <v>438.4</v>
          </cell>
        </row>
        <row r="4">
          <cell r="AQ4">
            <v>56.44</v>
          </cell>
          <cell r="AR4">
            <v>444.4</v>
          </cell>
        </row>
        <row r="5">
          <cell r="AQ5">
            <v>60.43</v>
          </cell>
          <cell r="AR5">
            <v>447.9</v>
          </cell>
        </row>
        <row r="6">
          <cell r="AQ6">
            <v>59.87</v>
          </cell>
          <cell r="AR6">
            <v>448.79999999999995</v>
          </cell>
        </row>
        <row r="7">
          <cell r="AQ7">
            <v>62.8</v>
          </cell>
          <cell r="AR7">
            <v>454.20000000000005</v>
          </cell>
        </row>
        <row r="8">
          <cell r="M8">
            <v>5.2954719877206298</v>
          </cell>
          <cell r="N8">
            <v>2017</v>
          </cell>
          <cell r="AQ8">
            <v>68.58</v>
          </cell>
          <cell r="AR8">
            <v>456.29999999999995</v>
          </cell>
        </row>
        <row r="9">
          <cell r="M9">
            <v>2.3374726077428698</v>
          </cell>
          <cell r="N9">
            <v>2018</v>
          </cell>
          <cell r="AQ9">
            <v>70.12</v>
          </cell>
          <cell r="AR9">
            <v>461</v>
          </cell>
        </row>
        <row r="10">
          <cell r="M10">
            <v>7.7363896848137621</v>
          </cell>
          <cell r="N10">
            <v>2019</v>
          </cell>
          <cell r="AQ10">
            <v>65.680000000000007</v>
          </cell>
          <cell r="AR10">
            <v>464.5</v>
          </cell>
        </row>
        <row r="11">
          <cell r="M11">
            <v>5.7922769640479483</v>
          </cell>
          <cell r="N11">
            <v>2020</v>
          </cell>
          <cell r="AQ11">
            <v>69.09</v>
          </cell>
          <cell r="AR11">
            <v>464.7</v>
          </cell>
        </row>
        <row r="12">
          <cell r="M12">
            <v>5.6579783852510976</v>
          </cell>
          <cell r="N12">
            <v>2021</v>
          </cell>
          <cell r="AQ12">
            <v>78.510000000000005</v>
          </cell>
          <cell r="AR12">
            <v>467.59999999999997</v>
          </cell>
        </row>
        <row r="13">
          <cell r="M13">
            <v>6.0350030175015092</v>
          </cell>
          <cell r="N13">
            <v>2022</v>
          </cell>
          <cell r="AQ13">
            <v>76.45</v>
          </cell>
          <cell r="AR13">
            <v>468.7</v>
          </cell>
        </row>
        <row r="14">
          <cell r="AQ14">
            <v>70.56</v>
          </cell>
          <cell r="AR14">
            <v>470</v>
          </cell>
        </row>
        <row r="15">
          <cell r="AQ15">
            <v>80.33</v>
          </cell>
          <cell r="AR15">
            <v>472.1</v>
          </cell>
        </row>
        <row r="16">
          <cell r="AQ16">
            <v>89.41</v>
          </cell>
          <cell r="AR16">
            <v>474.6</v>
          </cell>
        </row>
        <row r="17">
          <cell r="AQ17">
            <v>107.07</v>
          </cell>
          <cell r="AR17">
            <v>477.7</v>
          </cell>
        </row>
        <row r="18">
          <cell r="AQ18">
            <v>103.32</v>
          </cell>
          <cell r="AR18">
            <v>485.5</v>
          </cell>
        </row>
        <row r="19">
          <cell r="AQ19">
            <v>108.29</v>
          </cell>
          <cell r="AR19">
            <v>487.8</v>
          </cell>
        </row>
        <row r="20">
          <cell r="AQ20">
            <v>113.77</v>
          </cell>
          <cell r="AR20">
            <v>487.79999999999995</v>
          </cell>
        </row>
        <row r="21">
          <cell r="AQ21">
            <v>100.84</v>
          </cell>
          <cell r="AR21">
            <v>491.1</v>
          </cell>
        </row>
        <row r="22">
          <cell r="AQ22">
            <v>93.76</v>
          </cell>
          <cell r="AR22">
            <v>492.69999999999993</v>
          </cell>
        </row>
        <row r="23">
          <cell r="AQ23">
            <v>84.62</v>
          </cell>
          <cell r="AR23">
            <v>494.9</v>
          </cell>
        </row>
        <row r="24">
          <cell r="AQ24">
            <v>86.61</v>
          </cell>
          <cell r="AR24">
            <v>496.3</v>
          </cell>
        </row>
        <row r="25">
          <cell r="AQ25">
            <v>84.43</v>
          </cell>
          <cell r="AR25">
            <v>497.1</v>
          </cell>
        </row>
        <row r="26">
          <cell r="AQ26">
            <v>80.52</v>
          </cell>
          <cell r="AR26">
            <v>498.3</v>
          </cell>
        </row>
      </sheetData>
      <sheetData sheetId="10"/>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Hasan%20Rana\Downloads\All_India_Index_Upto_April23%20(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Hasan%20Rana\Downloads\All_India_Index_Upto_April23%20(1).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an Rana" refreshedDate="45734.574856712963" createdVersion="8" refreshedVersion="8" minRefreshableVersion="3" recordCount="7" xr:uid="{8F3B1496-145E-4CC1-9A01-C67E44FF86B0}">
  <cacheSource type="worksheet">
    <worksheetSource ref="BT14:BV21" sheet="Sheet2" r:id="rId2"/>
  </cacheSource>
  <cacheFields count="3">
    <cacheField name="year" numFmtId="0">
      <sharedItems containsDate="1" containsMixedTypes="1" minDate="2020-03-01T00:00:00" maxDate="2020-03-02T00:00:00" count="7">
        <s v="2017-2018"/>
        <s v="2018-2019"/>
        <s v="2019-2020"/>
        <d v="2020-03-01T00:00:00"/>
        <s v="2020-2021"/>
        <s v="2021-2022"/>
        <s v="2022-2023"/>
      </sharedItems>
    </cacheField>
    <cacheField name="rural" numFmtId="0">
      <sharedItems containsString="0" containsBlank="1" containsNumber="1" minValue="4.35114503816793" maxValue="9.3023255813953565"/>
    </cacheField>
    <cacheField name="urban" numFmtId="0">
      <sharedItems containsString="0" containsBlank="1" containsNumber="1" minValue="-0.82079343365252311" maxValue="6.982248520710065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an Rana" refreshedDate="45734.586344444448" createdVersion="8" refreshedVersion="8" minRefreshableVersion="3" recordCount="7" xr:uid="{F63363C6-0641-4581-B1CE-A54EE285671D}">
  <cacheSource type="worksheet">
    <worksheetSource ref="AA27:AC34" sheet="Q-4 "/>
  </cacheSource>
  <cacheFields count="3">
    <cacheField name="year" numFmtId="0">
      <sharedItems containsDate="1" containsMixedTypes="1" minDate="2020-03-01T00:00:00" maxDate="2020-03-02T00:00:00" count="7">
        <s v="2017-2018"/>
        <s v="2018-2019"/>
        <s v="2019-2020"/>
        <d v="2020-03-01T00:00:00"/>
        <s v="2020-2021"/>
        <s v="2021-2022"/>
        <s v="2022-2023"/>
      </sharedItems>
    </cacheField>
    <cacheField name="rural" numFmtId="164">
      <sharedItems containsString="0" containsBlank="1" containsNumber="1" minValue="3.1727146539757971" maxValue="8.6282113427048035"/>
    </cacheField>
    <cacheField name="urban" numFmtId="164">
      <sharedItems containsString="0" containsBlank="1" containsNumber="1" minValue="0.58167716917111834" maxValue="7.884383781613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an Rana" refreshedDate="45734.57485474537" createdVersion="8" refreshedVersion="8" minRefreshableVersion="3" recordCount="7" xr:uid="{9C8FE805-2D9D-4EDB-9FB0-E173F60AC7F1}">
  <cacheSource type="worksheet">
    <worksheetSource ref="AF11:AH18" sheet="Sheet2" r:id="rId2"/>
  </cacheSource>
  <cacheFields count="3">
    <cacheField name="year" numFmtId="0">
      <sharedItems containsDate="1" containsMixedTypes="1" minDate="2020-03-01T00:00:00" maxDate="2020-03-02T00:00:00" count="7">
        <s v="2017-2018"/>
        <s v="2018-2019"/>
        <s v="2019-2020"/>
        <d v="2020-03-01T00:00:00"/>
        <s v="2020-2021"/>
        <s v="2021-2022"/>
        <s v="2022-2023"/>
      </sharedItems>
    </cacheField>
    <cacheField name="rural" numFmtId="0">
      <sharedItems containsString="0" containsBlank="1" containsNumber="1" minValue="-4.0840390181155799" maxValue="8.9333012280279434"/>
    </cacheField>
    <cacheField name="urban" numFmtId="0">
      <sharedItems containsString="0" containsBlank="1" containsNumber="1" minValue="-2.0399161980372451" maxValue="9.68623612624424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4.35114503816793"/>
    <n v="5.7536466774716324"/>
  </r>
  <r>
    <x v="1"/>
    <n v="9.3023255813953565"/>
    <n v="6.0167555217059991"/>
  </r>
  <r>
    <x v="2"/>
    <n v="7.1819425444596448"/>
    <n v="-0.82079343365252311"/>
  </r>
  <r>
    <x v="3"/>
    <m/>
    <m/>
  </r>
  <r>
    <x v="4"/>
    <n v="6.6753078418664815"/>
    <n v="6.7936507936507864"/>
  </r>
  <r>
    <x v="5"/>
    <n v="6.4730792498487526"/>
    <n v="6.7936507936507864"/>
  </r>
  <r>
    <x v="6"/>
    <n v="5.4237288135593191"/>
    <n v="6.982248520710065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5.0104384133611628"/>
    <n v="3.2118758434547812"/>
  </r>
  <r>
    <x v="1"/>
    <n v="5.9753086419753272"/>
    <n v="3.4697048161574555"/>
  </r>
  <r>
    <x v="2"/>
    <n v="8.6282113427048035"/>
    <n v="0.58167716917111834"/>
  </r>
  <r>
    <x v="3"/>
    <m/>
    <m/>
  </r>
  <r>
    <x v="4"/>
    <n v="5.5109326193663639"/>
    <n v="7.8843837816138"/>
  </r>
  <r>
    <x v="5"/>
    <n v="5.2276559865092835"/>
    <n v="6.439393939393935"/>
  </r>
  <r>
    <x v="6"/>
    <n v="3.1727146539757971"/>
    <n v="3.13079299691039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2.1667760998030401"/>
    <n v="-2.0399161980372451"/>
  </r>
  <r>
    <x v="1"/>
    <n v="-4.0840390181155799"/>
    <n v="1.8342467285538635"/>
  </r>
  <r>
    <x v="2"/>
    <n v="8.9333012280279434"/>
    <n v="9.686236126244248"/>
  </r>
  <r>
    <x v="3"/>
    <m/>
    <m/>
  </r>
  <r>
    <x v="4"/>
    <n v="1.3782991202346173"/>
    <n v="2.2066583517221532"/>
  </r>
  <r>
    <x v="5"/>
    <n v="7.1054884428802261"/>
    <n v="5.5843674754584143"/>
  </r>
  <r>
    <x v="6"/>
    <n v="1.6279272220770948"/>
    <n v="1.99060230670653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41BE0C-4636-432C-8318-2836521BEA9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V14:AX22" firstHeaderRow="0" firstDataRow="1" firstDataCol="1"/>
  <pivotFields count="3">
    <pivotField axis="axisRow" showAll="0">
      <items count="8">
        <item x="0"/>
        <item x="1"/>
        <item x="2"/>
        <item n="MAR-20" x="3"/>
        <item x="4"/>
        <item x="5"/>
        <item x="6"/>
        <item t="default"/>
      </items>
    </pivotField>
    <pivotField dataField="1" numFmtId="164" showAll="0"/>
    <pivotField dataField="1" numFmtId="164" showAll="0"/>
  </pivotFields>
  <rowFields count="1">
    <field x="0"/>
  </rowFields>
  <rowItems count="8">
    <i>
      <x/>
    </i>
    <i>
      <x v="1"/>
    </i>
    <i>
      <x v="2"/>
    </i>
    <i>
      <x v="3"/>
    </i>
    <i>
      <x v="4"/>
    </i>
    <i>
      <x v="5"/>
    </i>
    <i>
      <x v="6"/>
    </i>
    <i t="grand">
      <x/>
    </i>
  </rowItems>
  <colFields count="1">
    <field x="-2"/>
  </colFields>
  <colItems count="2">
    <i>
      <x/>
    </i>
    <i i="1">
      <x v="1"/>
    </i>
  </colItems>
  <dataFields count="2">
    <dataField name="Sum of rural" fld="1" showDataAs="percentOfTotal" baseField="0" baseItem="0" numFmtId="164"/>
    <dataField name="Sum of urban" fld="2" showDataAs="percentOfTotal" baseField="0" baseItem="0" numFmtId="164"/>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6DBB44-C032-4577-A2E7-A5DB60B8B17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A14:AC22" firstHeaderRow="0" firstDataRow="1" firstDataCol="1"/>
  <pivotFields count="3">
    <pivotField axis="axisRow" showAll="0">
      <items count="8">
        <item x="0"/>
        <item x="1"/>
        <item x="2"/>
        <item n="MAR-20" x="3"/>
        <item x="4"/>
        <item x="5"/>
        <item x="6"/>
        <item t="default"/>
      </items>
    </pivotField>
    <pivotField dataField="1" showAll="0"/>
    <pivotField dataField="1" showAll="0"/>
  </pivotFields>
  <rowFields count="1">
    <field x="0"/>
  </rowFields>
  <rowItems count="8">
    <i>
      <x/>
    </i>
    <i>
      <x v="1"/>
    </i>
    <i>
      <x v="2"/>
    </i>
    <i>
      <x v="3"/>
    </i>
    <i>
      <x v="4"/>
    </i>
    <i>
      <x v="5"/>
    </i>
    <i>
      <x v="6"/>
    </i>
    <i t="grand">
      <x/>
    </i>
  </rowItems>
  <colFields count="1">
    <field x="-2"/>
  </colFields>
  <colItems count="2">
    <i>
      <x/>
    </i>
    <i i="1">
      <x v="1"/>
    </i>
  </colItems>
  <dataFields count="2">
    <dataField name="RURAL SECTOR" fld="1" showDataAs="percentOfCol" baseField="0" baseItem="0" numFmtId="10"/>
    <dataField name="URBAN SECTOR " fld="2" showDataAs="percentOfCol" baseField="0" baseItem="0" numFmtId="10"/>
  </dataFields>
  <formats count="7">
    <format dxfId="12">
      <pivotArea dataOnly="0" labelOnly="1" fieldPosition="0">
        <references count="1">
          <reference field="0" count="1">
            <x v="3"/>
          </reference>
        </references>
      </pivotArea>
    </format>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3E47B7-B3BF-49E5-A4D4-26D0459AE2F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14:I22" firstHeaderRow="0" firstDataRow="1" firstDataCol="1"/>
  <pivotFields count="3">
    <pivotField axis="axisRow" showAll="0">
      <items count="8">
        <item x="0"/>
        <item x="1"/>
        <item x="2"/>
        <item n="mar-20" x="3"/>
        <item x="4"/>
        <item x="5"/>
        <item x="6"/>
        <item t="default"/>
      </items>
    </pivotField>
    <pivotField dataField="1" showAll="0"/>
    <pivotField dataField="1" showAll="0"/>
  </pivotFields>
  <rowFields count="1">
    <field x="0"/>
  </rowFields>
  <rowItems count="8">
    <i>
      <x/>
    </i>
    <i>
      <x v="1"/>
    </i>
    <i>
      <x v="2"/>
    </i>
    <i>
      <x v="3"/>
    </i>
    <i>
      <x v="4"/>
    </i>
    <i>
      <x v="5"/>
    </i>
    <i>
      <x v="6"/>
    </i>
    <i t="grand">
      <x/>
    </i>
  </rowItems>
  <colFields count="1">
    <field x="-2"/>
  </colFields>
  <colItems count="2">
    <i>
      <x/>
    </i>
    <i i="1">
      <x v="1"/>
    </i>
  </colItems>
  <dataFields count="2">
    <dataField name="RURAL " fld="1" showDataAs="percentOfCol" baseField="0" baseItem="0" numFmtId="10"/>
    <dataField name="Sum of urban" fld="2" showDataAs="percentOfCol" baseField="0" baseItem="0" numFmtId="10"/>
  </dataFields>
  <formats count="8">
    <format dxfId="20">
      <pivotArea dataOnly="0" labelOnly="1" fieldPosition="0">
        <references count="1">
          <reference field="0" count="1">
            <x v="3"/>
          </reference>
        </references>
      </pivotArea>
    </format>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fieldPosition="0">
        <references count="1">
          <reference field="4294967294" count="2">
            <x v="0"/>
            <x v="1"/>
          </reference>
        </references>
      </pivotArea>
    </format>
    <format dxfId="13">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C9308-3133-4BF6-8942-BA6945BF887E}">
  <sheetPr>
    <tabColor theme="4" tint="0.59999389629810485"/>
  </sheetPr>
  <dimension ref="A1:AD373"/>
  <sheetViews>
    <sheetView workbookViewId="0">
      <selection sqref="A1:AD373"/>
    </sheetView>
  </sheetViews>
  <sheetFormatPr defaultRowHeight="14.4" x14ac:dyDescent="0.3"/>
  <sheetData>
    <row r="1" spans="1:30" x14ac:dyDescent="0.3">
      <c r="A1" t="s">
        <v>37</v>
      </c>
      <c r="B1" t="s">
        <v>38</v>
      </c>
      <c r="C1" t="s">
        <v>39</v>
      </c>
      <c r="D1" t="s">
        <v>1</v>
      </c>
      <c r="E1" t="s">
        <v>9</v>
      </c>
      <c r="F1" t="s">
        <v>10</v>
      </c>
      <c r="G1" t="s">
        <v>11</v>
      </c>
      <c r="H1" t="s">
        <v>2</v>
      </c>
      <c r="I1" t="s">
        <v>3</v>
      </c>
      <c r="J1" t="s">
        <v>4</v>
      </c>
      <c r="K1" t="s">
        <v>6</v>
      </c>
      <c r="L1" t="s">
        <v>7</v>
      </c>
      <c r="M1" t="s">
        <v>8</v>
      </c>
      <c r="N1" t="s">
        <v>13</v>
      </c>
      <c r="O1" t="s">
        <v>14</v>
      </c>
      <c r="P1" t="s">
        <v>40</v>
      </c>
      <c r="Q1" t="s">
        <v>30</v>
      </c>
      <c r="R1" t="s">
        <v>15</v>
      </c>
      <c r="S1" t="s">
        <v>16</v>
      </c>
      <c r="T1" t="s">
        <v>18</v>
      </c>
      <c r="U1" t="s">
        <v>22</v>
      </c>
      <c r="V1" t="s">
        <v>23</v>
      </c>
      <c r="W1" t="s">
        <v>25</v>
      </c>
      <c r="X1" t="s">
        <v>32</v>
      </c>
      <c r="Y1" t="s">
        <v>26</v>
      </c>
      <c r="Z1" t="s">
        <v>28</v>
      </c>
      <c r="AA1" t="s">
        <v>29</v>
      </c>
      <c r="AB1" t="s">
        <v>19</v>
      </c>
      <c r="AC1" t="s">
        <v>20</v>
      </c>
      <c r="AD1" t="s">
        <v>55</v>
      </c>
    </row>
    <row r="2" spans="1:30" x14ac:dyDescent="0.3">
      <c r="A2" t="s">
        <v>41</v>
      </c>
      <c r="B2">
        <v>2013</v>
      </c>
      <c r="C2" t="s">
        <v>56</v>
      </c>
      <c r="D2">
        <v>107.5</v>
      </c>
      <c r="E2">
        <v>106.3</v>
      </c>
      <c r="F2">
        <v>108.1</v>
      </c>
      <c r="G2">
        <v>104.9</v>
      </c>
      <c r="H2">
        <v>106.1</v>
      </c>
      <c r="I2">
        <v>103.9</v>
      </c>
      <c r="J2">
        <v>101.9</v>
      </c>
      <c r="K2">
        <v>106.1</v>
      </c>
      <c r="L2">
        <v>106.8</v>
      </c>
      <c r="M2">
        <v>103.1</v>
      </c>
      <c r="N2">
        <v>104.8</v>
      </c>
      <c r="O2">
        <v>106.7</v>
      </c>
      <c r="P2">
        <v>105.5</v>
      </c>
      <c r="Q2">
        <v>105.1</v>
      </c>
      <c r="R2">
        <v>106.5</v>
      </c>
      <c r="S2">
        <v>105.8</v>
      </c>
      <c r="T2">
        <v>106.4</v>
      </c>
      <c r="U2" t="s">
        <v>67</v>
      </c>
      <c r="V2">
        <v>105.5</v>
      </c>
      <c r="W2">
        <v>104.8</v>
      </c>
      <c r="X2">
        <v>104</v>
      </c>
      <c r="Y2">
        <v>103.3</v>
      </c>
      <c r="Z2">
        <v>103.4</v>
      </c>
      <c r="AA2">
        <v>103.8</v>
      </c>
      <c r="AB2">
        <v>104.7</v>
      </c>
      <c r="AC2">
        <v>104</v>
      </c>
      <c r="AD2">
        <v>105.1</v>
      </c>
    </row>
    <row r="3" spans="1:30" x14ac:dyDescent="0.3">
      <c r="A3" t="s">
        <v>44</v>
      </c>
      <c r="B3">
        <v>2013</v>
      </c>
      <c r="C3" t="s">
        <v>56</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45</v>
      </c>
      <c r="B4">
        <v>2013</v>
      </c>
      <c r="C4" t="s">
        <v>56</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41</v>
      </c>
      <c r="B5">
        <v>2013</v>
      </c>
      <c r="C5" t="s">
        <v>57</v>
      </c>
      <c r="D5">
        <v>109.2</v>
      </c>
      <c r="E5">
        <v>108.7</v>
      </c>
      <c r="F5">
        <v>110.2</v>
      </c>
      <c r="G5">
        <v>105.4</v>
      </c>
      <c r="H5">
        <v>106.7</v>
      </c>
      <c r="I5">
        <v>104</v>
      </c>
      <c r="J5">
        <v>102.4</v>
      </c>
      <c r="K5">
        <v>105.9</v>
      </c>
      <c r="L5">
        <v>105.7</v>
      </c>
      <c r="M5">
        <v>103.1</v>
      </c>
      <c r="N5">
        <v>105.1</v>
      </c>
      <c r="O5">
        <v>107.7</v>
      </c>
      <c r="P5">
        <v>106.3</v>
      </c>
      <c r="Q5">
        <v>105.6</v>
      </c>
      <c r="R5">
        <v>107.1</v>
      </c>
      <c r="S5">
        <v>106.3</v>
      </c>
      <c r="T5">
        <v>107</v>
      </c>
      <c r="U5" t="s">
        <v>67</v>
      </c>
      <c r="V5">
        <v>106.2</v>
      </c>
      <c r="W5">
        <v>105.2</v>
      </c>
      <c r="X5">
        <v>104.4</v>
      </c>
      <c r="Y5">
        <v>103.9</v>
      </c>
      <c r="Z5">
        <v>104</v>
      </c>
      <c r="AA5">
        <v>104.1</v>
      </c>
      <c r="AB5">
        <v>104.6</v>
      </c>
      <c r="AC5">
        <v>104.4</v>
      </c>
      <c r="AD5">
        <v>105.8</v>
      </c>
    </row>
    <row r="6" spans="1:30" x14ac:dyDescent="0.3">
      <c r="A6" t="s">
        <v>44</v>
      </c>
      <c r="B6">
        <v>2013</v>
      </c>
      <c r="C6" t="s">
        <v>57</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45</v>
      </c>
      <c r="B7">
        <v>2013</v>
      </c>
      <c r="C7" t="s">
        <v>57</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41</v>
      </c>
      <c r="B8">
        <v>2013</v>
      </c>
      <c r="C8" t="s">
        <v>58</v>
      </c>
      <c r="D8">
        <v>110.2</v>
      </c>
      <c r="E8">
        <v>108.8</v>
      </c>
      <c r="F8">
        <v>109.9</v>
      </c>
      <c r="G8">
        <v>105.6</v>
      </c>
      <c r="H8">
        <v>106.2</v>
      </c>
      <c r="I8">
        <v>105.7</v>
      </c>
      <c r="J8">
        <v>101.4</v>
      </c>
      <c r="K8">
        <v>105.7</v>
      </c>
      <c r="L8">
        <v>105</v>
      </c>
      <c r="M8">
        <v>103.3</v>
      </c>
      <c r="N8">
        <v>105.6</v>
      </c>
      <c r="O8">
        <v>108.2</v>
      </c>
      <c r="P8">
        <v>106.6</v>
      </c>
      <c r="Q8">
        <v>106.5</v>
      </c>
      <c r="R8">
        <v>107.6</v>
      </c>
      <c r="S8">
        <v>106.8</v>
      </c>
      <c r="T8">
        <v>107.5</v>
      </c>
      <c r="U8" t="s">
        <v>67</v>
      </c>
      <c r="V8">
        <v>106.1</v>
      </c>
      <c r="W8">
        <v>105.6</v>
      </c>
      <c r="X8">
        <v>104.7</v>
      </c>
      <c r="Y8">
        <v>104.6</v>
      </c>
      <c r="Z8">
        <v>104</v>
      </c>
      <c r="AA8">
        <v>104.3</v>
      </c>
      <c r="AB8">
        <v>104.3</v>
      </c>
      <c r="AC8">
        <v>104.6</v>
      </c>
      <c r="AD8">
        <v>106</v>
      </c>
    </row>
    <row r="9" spans="1:30" x14ac:dyDescent="0.3">
      <c r="A9" t="s">
        <v>44</v>
      </c>
      <c r="B9">
        <v>2013</v>
      </c>
      <c r="C9" t="s">
        <v>58</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45</v>
      </c>
      <c r="B10">
        <v>2013</v>
      </c>
      <c r="C10" t="s">
        <v>58</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41</v>
      </c>
      <c r="B11">
        <v>2013</v>
      </c>
      <c r="C11" t="s">
        <v>59</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67</v>
      </c>
      <c r="V11">
        <v>106.5</v>
      </c>
      <c r="W11">
        <v>106.1</v>
      </c>
      <c r="X11">
        <v>105.1</v>
      </c>
      <c r="Y11">
        <v>104.4</v>
      </c>
      <c r="Z11">
        <v>104.5</v>
      </c>
      <c r="AA11">
        <v>104.8</v>
      </c>
      <c r="AB11">
        <v>102.7</v>
      </c>
      <c r="AC11">
        <v>104.6</v>
      </c>
      <c r="AD11">
        <v>106.4</v>
      </c>
    </row>
    <row r="12" spans="1:30" x14ac:dyDescent="0.3">
      <c r="A12" t="s">
        <v>44</v>
      </c>
      <c r="B12">
        <v>2013</v>
      </c>
      <c r="C12" t="s">
        <v>59</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45</v>
      </c>
      <c r="B13">
        <v>2013</v>
      </c>
      <c r="C13" t="s">
        <v>59</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41</v>
      </c>
      <c r="B14">
        <v>2013</v>
      </c>
      <c r="C14" t="s">
        <v>42</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67</v>
      </c>
      <c r="V14">
        <v>107.5</v>
      </c>
      <c r="W14">
        <v>106.8</v>
      </c>
      <c r="X14">
        <v>105.7</v>
      </c>
      <c r="Y14">
        <v>104.1</v>
      </c>
      <c r="Z14">
        <v>105</v>
      </c>
      <c r="AA14">
        <v>105.5</v>
      </c>
      <c r="AB14">
        <v>102.1</v>
      </c>
      <c r="AC14">
        <v>104.8</v>
      </c>
      <c r="AD14">
        <v>107.2</v>
      </c>
    </row>
    <row r="15" spans="1:30" x14ac:dyDescent="0.3">
      <c r="A15" t="s">
        <v>44</v>
      </c>
      <c r="B15">
        <v>2013</v>
      </c>
      <c r="C15" t="s">
        <v>42</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45</v>
      </c>
      <c r="B16">
        <v>2013</v>
      </c>
      <c r="C16" t="s">
        <v>42</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41</v>
      </c>
      <c r="B17">
        <v>2013</v>
      </c>
      <c r="C17" t="s">
        <v>60</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67</v>
      </c>
      <c r="V17">
        <v>108.5</v>
      </c>
      <c r="W17">
        <v>107.5</v>
      </c>
      <c r="X17">
        <v>106.3</v>
      </c>
      <c r="Y17">
        <v>105</v>
      </c>
      <c r="Z17">
        <v>105.6</v>
      </c>
      <c r="AA17">
        <v>106.5</v>
      </c>
      <c r="AB17">
        <v>102.5</v>
      </c>
      <c r="AC17">
        <v>105.5</v>
      </c>
      <c r="AD17">
        <v>108.9</v>
      </c>
    </row>
    <row r="18" spans="1:30" x14ac:dyDescent="0.3">
      <c r="A18" t="s">
        <v>44</v>
      </c>
      <c r="B18">
        <v>2013</v>
      </c>
      <c r="C18" t="s">
        <v>60</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45</v>
      </c>
      <c r="B19">
        <v>2013</v>
      </c>
      <c r="C19" t="s">
        <v>60</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41</v>
      </c>
      <c r="B20">
        <v>2013</v>
      </c>
      <c r="C20" t="s">
        <v>61</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67</v>
      </c>
      <c r="V20">
        <v>109.5</v>
      </c>
      <c r="W20">
        <v>108.3</v>
      </c>
      <c r="X20">
        <v>106.9</v>
      </c>
      <c r="Y20">
        <v>106.8</v>
      </c>
      <c r="Z20">
        <v>106.4</v>
      </c>
      <c r="AA20">
        <v>107.8</v>
      </c>
      <c r="AB20">
        <v>102.5</v>
      </c>
      <c r="AC20">
        <v>106.5</v>
      </c>
      <c r="AD20">
        <v>110.7</v>
      </c>
    </row>
    <row r="21" spans="1:30" x14ac:dyDescent="0.3">
      <c r="A21" t="s">
        <v>44</v>
      </c>
      <c r="B21">
        <v>2013</v>
      </c>
      <c r="C21" t="s">
        <v>61</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45</v>
      </c>
      <c r="B22">
        <v>2013</v>
      </c>
      <c r="C22" t="s">
        <v>61</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41</v>
      </c>
      <c r="B23">
        <v>2013</v>
      </c>
      <c r="C23" t="s">
        <v>62</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67</v>
      </c>
      <c r="V23">
        <v>109.9</v>
      </c>
      <c r="W23">
        <v>108.7</v>
      </c>
      <c r="X23">
        <v>107.5</v>
      </c>
      <c r="Y23">
        <v>107.8</v>
      </c>
      <c r="Z23">
        <v>106.8</v>
      </c>
      <c r="AA23">
        <v>108.7</v>
      </c>
      <c r="AB23">
        <v>105</v>
      </c>
      <c r="AC23">
        <v>107.5</v>
      </c>
      <c r="AD23">
        <v>112.1</v>
      </c>
    </row>
    <row r="24" spans="1:30" x14ac:dyDescent="0.3">
      <c r="A24" t="s">
        <v>44</v>
      </c>
      <c r="B24">
        <v>2013</v>
      </c>
      <c r="C24" t="s">
        <v>62</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45</v>
      </c>
      <c r="B25">
        <v>2013</v>
      </c>
      <c r="C25" t="s">
        <v>62</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41</v>
      </c>
      <c r="B26">
        <v>2013</v>
      </c>
      <c r="C26" t="s">
        <v>63</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67</v>
      </c>
      <c r="V26">
        <v>111.1</v>
      </c>
      <c r="W26">
        <v>109.6</v>
      </c>
      <c r="X26">
        <v>108.3</v>
      </c>
      <c r="Y26">
        <v>109.3</v>
      </c>
      <c r="Z26">
        <v>107.7</v>
      </c>
      <c r="AA26">
        <v>109.8</v>
      </c>
      <c r="AB26">
        <v>106.7</v>
      </c>
      <c r="AC26">
        <v>108.7</v>
      </c>
      <c r="AD26">
        <v>114.2</v>
      </c>
    </row>
    <row r="27" spans="1:30" x14ac:dyDescent="0.3">
      <c r="A27" t="s">
        <v>44</v>
      </c>
      <c r="B27">
        <v>2013</v>
      </c>
      <c r="C27" t="s">
        <v>63</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45</v>
      </c>
      <c r="B28">
        <v>2013</v>
      </c>
      <c r="C28" t="s">
        <v>63</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41</v>
      </c>
      <c r="B29">
        <v>2013</v>
      </c>
      <c r="C29" t="s">
        <v>64</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67</v>
      </c>
      <c r="V29">
        <v>111.6</v>
      </c>
      <c r="W29">
        <v>110.4</v>
      </c>
      <c r="X29">
        <v>108.9</v>
      </c>
      <c r="Y29">
        <v>109.3</v>
      </c>
      <c r="Z29">
        <v>108.3</v>
      </c>
      <c r="AA29">
        <v>110.2</v>
      </c>
      <c r="AB29">
        <v>107.5</v>
      </c>
      <c r="AC29">
        <v>109.1</v>
      </c>
      <c r="AD29">
        <v>115.5</v>
      </c>
    </row>
    <row r="30" spans="1:30" x14ac:dyDescent="0.3">
      <c r="A30" t="s">
        <v>44</v>
      </c>
      <c r="B30">
        <v>2013</v>
      </c>
      <c r="C30" t="s">
        <v>64</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45</v>
      </c>
      <c r="B31">
        <v>2013</v>
      </c>
      <c r="C31" t="s">
        <v>64</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41</v>
      </c>
      <c r="B32">
        <v>2013</v>
      </c>
      <c r="C32" t="s">
        <v>186</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67</v>
      </c>
      <c r="V32">
        <v>112.6</v>
      </c>
      <c r="W32">
        <v>111.3</v>
      </c>
      <c r="X32">
        <v>109.7</v>
      </c>
      <c r="Y32">
        <v>109.6</v>
      </c>
      <c r="Z32">
        <v>108.7</v>
      </c>
      <c r="AA32">
        <v>111</v>
      </c>
      <c r="AB32">
        <v>108.2</v>
      </c>
      <c r="AC32">
        <v>109.8</v>
      </c>
      <c r="AD32">
        <v>117.4</v>
      </c>
    </row>
    <row r="33" spans="1:30" x14ac:dyDescent="0.3">
      <c r="A33" t="s">
        <v>44</v>
      </c>
      <c r="B33">
        <v>2013</v>
      </c>
      <c r="C33" t="s">
        <v>65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45</v>
      </c>
      <c r="B34">
        <v>2013</v>
      </c>
      <c r="C34" t="s">
        <v>65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41</v>
      </c>
      <c r="B35">
        <v>2013</v>
      </c>
      <c r="C35" t="s">
        <v>66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67</v>
      </c>
      <c r="V35">
        <v>112.8</v>
      </c>
      <c r="W35">
        <v>112.1</v>
      </c>
      <c r="X35">
        <v>110.1</v>
      </c>
      <c r="Y35">
        <v>109.9</v>
      </c>
      <c r="Z35">
        <v>109.2</v>
      </c>
      <c r="AA35">
        <v>111.6</v>
      </c>
      <c r="AB35">
        <v>108.1</v>
      </c>
      <c r="AC35">
        <v>110.1</v>
      </c>
      <c r="AD35">
        <v>115.5</v>
      </c>
    </row>
    <row r="36" spans="1:30" x14ac:dyDescent="0.3">
      <c r="A36" t="s">
        <v>44</v>
      </c>
      <c r="B36">
        <v>2013</v>
      </c>
      <c r="C36" t="s">
        <v>66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45</v>
      </c>
      <c r="B37">
        <v>2013</v>
      </c>
      <c r="C37" t="s">
        <v>66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41</v>
      </c>
      <c r="B38">
        <v>2014</v>
      </c>
      <c r="C38" t="s">
        <v>56</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67</v>
      </c>
      <c r="V38">
        <v>113</v>
      </c>
      <c r="W38">
        <v>112.6</v>
      </c>
      <c r="X38">
        <v>110.6</v>
      </c>
      <c r="Y38">
        <v>110.5</v>
      </c>
      <c r="Z38">
        <v>109.6</v>
      </c>
      <c r="AA38">
        <v>111.8</v>
      </c>
      <c r="AB38">
        <v>108.3</v>
      </c>
      <c r="AC38">
        <v>110.6</v>
      </c>
      <c r="AD38">
        <v>114.2</v>
      </c>
    </row>
    <row r="39" spans="1:30" x14ac:dyDescent="0.3">
      <c r="A39" t="s">
        <v>44</v>
      </c>
      <c r="B39">
        <v>2014</v>
      </c>
      <c r="C39" t="s">
        <v>56</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45</v>
      </c>
      <c r="B40">
        <v>2014</v>
      </c>
      <c r="C40" t="s">
        <v>56</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41</v>
      </c>
      <c r="B41">
        <v>2014</v>
      </c>
      <c r="C41" t="s">
        <v>57</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67</v>
      </c>
      <c r="V41">
        <v>113.2</v>
      </c>
      <c r="W41">
        <v>112.9</v>
      </c>
      <c r="X41">
        <v>110.9</v>
      </c>
      <c r="Y41">
        <v>110.8</v>
      </c>
      <c r="Z41">
        <v>109.9</v>
      </c>
      <c r="AA41">
        <v>112</v>
      </c>
      <c r="AB41">
        <v>108.7</v>
      </c>
      <c r="AC41">
        <v>110.9</v>
      </c>
      <c r="AD41">
        <v>114</v>
      </c>
    </row>
    <row r="42" spans="1:30" x14ac:dyDescent="0.3">
      <c r="A42" t="s">
        <v>44</v>
      </c>
      <c r="B42">
        <v>2014</v>
      </c>
      <c r="C42" t="s">
        <v>57</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45</v>
      </c>
      <c r="B43">
        <v>2014</v>
      </c>
      <c r="C43" t="s">
        <v>57</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41</v>
      </c>
      <c r="B44">
        <v>2014</v>
      </c>
      <c r="C44" t="s">
        <v>58</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67</v>
      </c>
      <c r="V44">
        <v>113.4</v>
      </c>
      <c r="W44">
        <v>113.4</v>
      </c>
      <c r="X44">
        <v>111.4</v>
      </c>
      <c r="Y44">
        <v>111.2</v>
      </c>
      <c r="Z44">
        <v>110.2</v>
      </c>
      <c r="AA44">
        <v>112.4</v>
      </c>
      <c r="AB44">
        <v>108.9</v>
      </c>
      <c r="AC44">
        <v>111.3</v>
      </c>
      <c r="AD44">
        <v>114.6</v>
      </c>
    </row>
    <row r="45" spans="1:30" x14ac:dyDescent="0.3">
      <c r="A45" t="s">
        <v>44</v>
      </c>
      <c r="B45">
        <v>2014</v>
      </c>
      <c r="C45" t="s">
        <v>58</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45</v>
      </c>
      <c r="B46">
        <v>2014</v>
      </c>
      <c r="C46" t="s">
        <v>187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41</v>
      </c>
      <c r="B47">
        <v>2014</v>
      </c>
      <c r="C47" t="s">
        <v>59</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67</v>
      </c>
      <c r="V47">
        <v>113.4</v>
      </c>
      <c r="W47">
        <v>113.7</v>
      </c>
      <c r="X47">
        <v>111.8</v>
      </c>
      <c r="Y47">
        <v>111.2</v>
      </c>
      <c r="Z47">
        <v>110.5</v>
      </c>
      <c r="AA47">
        <v>113</v>
      </c>
      <c r="AB47">
        <v>108.9</v>
      </c>
      <c r="AC47">
        <v>111.5</v>
      </c>
      <c r="AD47">
        <v>115.4</v>
      </c>
    </row>
    <row r="48" spans="1:30" x14ac:dyDescent="0.3">
      <c r="A48" t="s">
        <v>44</v>
      </c>
      <c r="B48">
        <v>2014</v>
      </c>
      <c r="C48" t="s">
        <v>59</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45</v>
      </c>
      <c r="B49">
        <v>2014</v>
      </c>
      <c r="C49" t="s">
        <v>59</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41</v>
      </c>
      <c r="B50">
        <v>2014</v>
      </c>
      <c r="C50" t="s">
        <v>42</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67</v>
      </c>
      <c r="V50">
        <v>113.4</v>
      </c>
      <c r="W50">
        <v>114.1</v>
      </c>
      <c r="X50">
        <v>112.1</v>
      </c>
      <c r="Y50">
        <v>111.4</v>
      </c>
      <c r="Z50">
        <v>110.9</v>
      </c>
      <c r="AA50">
        <v>113.1</v>
      </c>
      <c r="AB50">
        <v>108.9</v>
      </c>
      <c r="AC50">
        <v>111.8</v>
      </c>
      <c r="AD50">
        <v>116</v>
      </c>
    </row>
    <row r="51" spans="1:30" x14ac:dyDescent="0.3">
      <c r="A51" t="s">
        <v>44</v>
      </c>
      <c r="B51">
        <v>2014</v>
      </c>
      <c r="C51" t="s">
        <v>42</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45</v>
      </c>
      <c r="B52">
        <v>2014</v>
      </c>
      <c r="C52" t="s">
        <v>42</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41</v>
      </c>
      <c r="B53">
        <v>2014</v>
      </c>
      <c r="C53" t="s">
        <v>60</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67</v>
      </c>
      <c r="V53">
        <v>114.4</v>
      </c>
      <c r="W53">
        <v>114.9</v>
      </c>
      <c r="X53">
        <v>112.8</v>
      </c>
      <c r="Y53">
        <v>112.2</v>
      </c>
      <c r="Z53">
        <v>111.4</v>
      </c>
      <c r="AA53">
        <v>114.3</v>
      </c>
      <c r="AB53">
        <v>108</v>
      </c>
      <c r="AC53">
        <v>112.3</v>
      </c>
      <c r="AD53">
        <v>117</v>
      </c>
    </row>
    <row r="54" spans="1:30" x14ac:dyDescent="0.3">
      <c r="A54" t="s">
        <v>44</v>
      </c>
      <c r="B54">
        <v>2014</v>
      </c>
      <c r="C54" t="s">
        <v>60</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45</v>
      </c>
      <c r="B55">
        <v>2014</v>
      </c>
      <c r="C55" t="s">
        <v>60</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41</v>
      </c>
      <c r="B56">
        <v>2014</v>
      </c>
      <c r="C56" t="s">
        <v>61</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67</v>
      </c>
      <c r="V56">
        <v>115.3</v>
      </c>
      <c r="W56">
        <v>115.4</v>
      </c>
      <c r="X56">
        <v>113.4</v>
      </c>
      <c r="Y56">
        <v>113.2</v>
      </c>
      <c r="Z56">
        <v>111.8</v>
      </c>
      <c r="AA56">
        <v>115.5</v>
      </c>
      <c r="AB56">
        <v>108.8</v>
      </c>
      <c r="AC56">
        <v>113.1</v>
      </c>
      <c r="AD56">
        <v>119.5</v>
      </c>
    </row>
    <row r="57" spans="1:30" x14ac:dyDescent="0.3">
      <c r="A57" t="s">
        <v>44</v>
      </c>
      <c r="B57">
        <v>2014</v>
      </c>
      <c r="C57" t="s">
        <v>61</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45</v>
      </c>
      <c r="B58">
        <v>2014</v>
      </c>
      <c r="C58" t="s">
        <v>61</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41</v>
      </c>
      <c r="B59">
        <v>2014</v>
      </c>
      <c r="C59" t="s">
        <v>62</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67</v>
      </c>
      <c r="V59">
        <v>115.4</v>
      </c>
      <c r="W59">
        <v>115.9</v>
      </c>
      <c r="X59">
        <v>114</v>
      </c>
      <c r="Y59">
        <v>113.2</v>
      </c>
      <c r="Z59">
        <v>112.2</v>
      </c>
      <c r="AA59">
        <v>116.2</v>
      </c>
      <c r="AB59">
        <v>109.4</v>
      </c>
      <c r="AC59">
        <v>113.5</v>
      </c>
      <c r="AD59">
        <v>120.7</v>
      </c>
    </row>
    <row r="60" spans="1:30" x14ac:dyDescent="0.3">
      <c r="A60" t="s">
        <v>44</v>
      </c>
      <c r="B60">
        <v>2014</v>
      </c>
      <c r="C60" t="s">
        <v>62</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45</v>
      </c>
      <c r="B61">
        <v>2014</v>
      </c>
      <c r="C61" t="s">
        <v>62</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41</v>
      </c>
      <c r="B62">
        <v>2014</v>
      </c>
      <c r="C62" t="s">
        <v>63</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67</v>
      </c>
      <c r="V62">
        <v>115.8</v>
      </c>
      <c r="W62">
        <v>116.7</v>
      </c>
      <c r="X62">
        <v>114.5</v>
      </c>
      <c r="Y62">
        <v>112.8</v>
      </c>
      <c r="Z62">
        <v>112.6</v>
      </c>
      <c r="AA62">
        <v>116.6</v>
      </c>
      <c r="AB62">
        <v>109.1</v>
      </c>
      <c r="AC62">
        <v>113.7</v>
      </c>
      <c r="AD62">
        <v>120.9</v>
      </c>
    </row>
    <row r="63" spans="1:30" x14ac:dyDescent="0.3">
      <c r="A63" t="s">
        <v>44</v>
      </c>
      <c r="B63">
        <v>2014</v>
      </c>
      <c r="C63" t="s">
        <v>63</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45</v>
      </c>
      <c r="B64">
        <v>2014</v>
      </c>
      <c r="C64" t="s">
        <v>63</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41</v>
      </c>
      <c r="B65">
        <v>2014</v>
      </c>
      <c r="C65" t="s">
        <v>64</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67</v>
      </c>
      <c r="V65">
        <v>116.4</v>
      </c>
      <c r="W65">
        <v>117.5</v>
      </c>
      <c r="X65">
        <v>115.3</v>
      </c>
      <c r="Y65">
        <v>112.6</v>
      </c>
      <c r="Z65">
        <v>113</v>
      </c>
      <c r="AA65">
        <v>116.9</v>
      </c>
      <c r="AB65">
        <v>109.3</v>
      </c>
      <c r="AC65">
        <v>114</v>
      </c>
      <c r="AD65">
        <v>121</v>
      </c>
    </row>
    <row r="66" spans="1:30" x14ac:dyDescent="0.3">
      <c r="A66" t="s">
        <v>44</v>
      </c>
      <c r="B66">
        <v>2014</v>
      </c>
      <c r="C66" t="s">
        <v>64</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45</v>
      </c>
      <c r="B67">
        <v>2014</v>
      </c>
      <c r="C67" t="s">
        <v>64</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41</v>
      </c>
      <c r="B68">
        <v>2014</v>
      </c>
      <c r="C68" t="s">
        <v>65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67</v>
      </c>
      <c r="V68">
        <v>117.3</v>
      </c>
      <c r="W68">
        <v>118.1</v>
      </c>
      <c r="X68">
        <v>115.9</v>
      </c>
      <c r="Y68">
        <v>112</v>
      </c>
      <c r="Z68">
        <v>113.3</v>
      </c>
      <c r="AA68">
        <v>117.2</v>
      </c>
      <c r="AB68">
        <v>108.8</v>
      </c>
      <c r="AC68">
        <v>114.1</v>
      </c>
      <c r="AD68">
        <v>121.1</v>
      </c>
    </row>
    <row r="69" spans="1:30" x14ac:dyDescent="0.3">
      <c r="A69" t="s">
        <v>44</v>
      </c>
      <c r="B69">
        <v>2014</v>
      </c>
      <c r="C69" t="s">
        <v>65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45</v>
      </c>
      <c r="B70">
        <v>2014</v>
      </c>
      <c r="C70" t="s">
        <v>65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41</v>
      </c>
      <c r="B71">
        <v>2014</v>
      </c>
      <c r="C71" t="s">
        <v>66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67</v>
      </c>
      <c r="V71">
        <v>117.4</v>
      </c>
      <c r="W71">
        <v>118.2</v>
      </c>
      <c r="X71">
        <v>116.2</v>
      </c>
      <c r="Y71">
        <v>111.5</v>
      </c>
      <c r="Z71">
        <v>113.3</v>
      </c>
      <c r="AA71">
        <v>117.7</v>
      </c>
      <c r="AB71">
        <v>109.4</v>
      </c>
      <c r="AC71">
        <v>114.2</v>
      </c>
      <c r="AD71">
        <v>120.3</v>
      </c>
    </row>
    <row r="72" spans="1:30" x14ac:dyDescent="0.3">
      <c r="A72" t="s">
        <v>44</v>
      </c>
      <c r="B72">
        <v>2014</v>
      </c>
      <c r="C72" t="s">
        <v>66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45</v>
      </c>
      <c r="B73">
        <v>2014</v>
      </c>
      <c r="C73" t="s">
        <v>66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41</v>
      </c>
      <c r="B74">
        <v>2015</v>
      </c>
      <c r="C74" t="s">
        <v>56</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67</v>
      </c>
      <c r="V74">
        <v>118.4</v>
      </c>
      <c r="W74">
        <v>118.9</v>
      </c>
      <c r="X74">
        <v>116.6</v>
      </c>
      <c r="Y74">
        <v>111</v>
      </c>
      <c r="Z74">
        <v>114</v>
      </c>
      <c r="AA74">
        <v>118.2</v>
      </c>
      <c r="AB74">
        <v>110.2</v>
      </c>
      <c r="AC74">
        <v>114.5</v>
      </c>
      <c r="AD74">
        <v>120.3</v>
      </c>
    </row>
    <row r="75" spans="1:30" x14ac:dyDescent="0.3">
      <c r="A75" t="s">
        <v>44</v>
      </c>
      <c r="B75">
        <v>2015</v>
      </c>
      <c r="C75" t="s">
        <v>56</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45</v>
      </c>
      <c r="B76">
        <v>2015</v>
      </c>
      <c r="C76" t="s">
        <v>56</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41</v>
      </c>
      <c r="B77">
        <v>2015</v>
      </c>
      <c r="C77" t="s">
        <v>57</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67</v>
      </c>
      <c r="V77">
        <v>120</v>
      </c>
      <c r="W77">
        <v>119.6</v>
      </c>
      <c r="X77">
        <v>117.7</v>
      </c>
      <c r="Y77">
        <v>110.9</v>
      </c>
      <c r="Z77">
        <v>114.8</v>
      </c>
      <c r="AA77">
        <v>118.7</v>
      </c>
      <c r="AB77">
        <v>110.8</v>
      </c>
      <c r="AC77">
        <v>115</v>
      </c>
      <c r="AD77">
        <v>120.6</v>
      </c>
    </row>
    <row r="78" spans="1:30" x14ac:dyDescent="0.3">
      <c r="A78" t="s">
        <v>44</v>
      </c>
      <c r="B78">
        <v>2015</v>
      </c>
      <c r="C78" t="s">
        <v>57</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45</v>
      </c>
      <c r="B79">
        <v>2015</v>
      </c>
      <c r="C79" t="s">
        <v>57</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41</v>
      </c>
      <c r="B80">
        <v>2015</v>
      </c>
      <c r="C80" t="s">
        <v>58</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67</v>
      </c>
      <c r="V80">
        <v>120.6</v>
      </c>
      <c r="W80">
        <v>120.2</v>
      </c>
      <c r="X80">
        <v>118.2</v>
      </c>
      <c r="Y80">
        <v>111.6</v>
      </c>
      <c r="Z80">
        <v>115.5</v>
      </c>
      <c r="AA80">
        <v>119.4</v>
      </c>
      <c r="AB80">
        <v>110.8</v>
      </c>
      <c r="AC80">
        <v>115.5</v>
      </c>
      <c r="AD80">
        <v>121.1</v>
      </c>
    </row>
    <row r="81" spans="1:30" x14ac:dyDescent="0.3">
      <c r="A81" t="s">
        <v>44</v>
      </c>
      <c r="B81">
        <v>2015</v>
      </c>
      <c r="C81" t="s">
        <v>58</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45</v>
      </c>
      <c r="B82">
        <v>2015</v>
      </c>
      <c r="C82" t="s">
        <v>58</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41</v>
      </c>
      <c r="B83">
        <v>2015</v>
      </c>
      <c r="C83" t="s">
        <v>59</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67</v>
      </c>
      <c r="V83">
        <v>121.2</v>
      </c>
      <c r="W83">
        <v>120.9</v>
      </c>
      <c r="X83">
        <v>118.6</v>
      </c>
      <c r="Y83">
        <v>111.9</v>
      </c>
      <c r="Z83">
        <v>116.2</v>
      </c>
      <c r="AA83">
        <v>119.9</v>
      </c>
      <c r="AB83">
        <v>111.6</v>
      </c>
      <c r="AC83">
        <v>116</v>
      </c>
      <c r="AD83">
        <v>121.5</v>
      </c>
    </row>
    <row r="84" spans="1:30" x14ac:dyDescent="0.3">
      <c r="A84" t="s">
        <v>44</v>
      </c>
      <c r="B84">
        <v>2015</v>
      </c>
      <c r="C84" t="s">
        <v>59</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45</v>
      </c>
      <c r="B85">
        <v>2015</v>
      </c>
      <c r="C85" t="s">
        <v>59</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41</v>
      </c>
      <c r="B86">
        <v>2015</v>
      </c>
      <c r="C86" t="s">
        <v>42</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67</v>
      </c>
      <c r="V86">
        <v>121.9</v>
      </c>
      <c r="W86">
        <v>121.5</v>
      </c>
      <c r="X86">
        <v>119.4</v>
      </c>
      <c r="Y86">
        <v>113.3</v>
      </c>
      <c r="Z86">
        <v>116.7</v>
      </c>
      <c r="AA86">
        <v>120.5</v>
      </c>
      <c r="AB86">
        <v>112.3</v>
      </c>
      <c r="AC86">
        <v>116.9</v>
      </c>
      <c r="AD86">
        <v>122.4</v>
      </c>
    </row>
    <row r="87" spans="1:30" x14ac:dyDescent="0.3">
      <c r="A87" t="s">
        <v>44</v>
      </c>
      <c r="B87">
        <v>2015</v>
      </c>
      <c r="C87" t="s">
        <v>42</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45</v>
      </c>
      <c r="B88">
        <v>2015</v>
      </c>
      <c r="C88" t="s">
        <v>42</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41</v>
      </c>
      <c r="B89">
        <v>2015</v>
      </c>
      <c r="C89" t="s">
        <v>60</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67</v>
      </c>
      <c r="V89">
        <v>122.6</v>
      </c>
      <c r="W89">
        <v>122.8</v>
      </c>
      <c r="X89">
        <v>120.4</v>
      </c>
      <c r="Y89">
        <v>114.2</v>
      </c>
      <c r="Z89">
        <v>117.9</v>
      </c>
      <c r="AA89">
        <v>122</v>
      </c>
      <c r="AB89">
        <v>113</v>
      </c>
      <c r="AC89">
        <v>117.9</v>
      </c>
      <c r="AD89">
        <v>124.1</v>
      </c>
    </row>
    <row r="90" spans="1:30" x14ac:dyDescent="0.3">
      <c r="A90" t="s">
        <v>44</v>
      </c>
      <c r="B90">
        <v>2015</v>
      </c>
      <c r="C90" t="s">
        <v>60</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45</v>
      </c>
      <c r="B91">
        <v>2015</v>
      </c>
      <c r="C91" t="s">
        <v>60</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41</v>
      </c>
      <c r="B92">
        <v>2015</v>
      </c>
      <c r="C92" t="s">
        <v>61</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67</v>
      </c>
      <c r="V92">
        <v>123</v>
      </c>
      <c r="W92">
        <v>123</v>
      </c>
      <c r="X92">
        <v>120.8</v>
      </c>
      <c r="Y92">
        <v>114.1</v>
      </c>
      <c r="Z92">
        <v>118</v>
      </c>
      <c r="AA92">
        <v>122.9</v>
      </c>
      <c r="AB92">
        <v>112.7</v>
      </c>
      <c r="AC92">
        <v>118.1</v>
      </c>
      <c r="AD92">
        <v>124.7</v>
      </c>
    </row>
    <row r="93" spans="1:30" x14ac:dyDescent="0.3">
      <c r="A93" t="s">
        <v>44</v>
      </c>
      <c r="B93">
        <v>2015</v>
      </c>
      <c r="C93" t="s">
        <v>61</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45</v>
      </c>
      <c r="B94">
        <v>2015</v>
      </c>
      <c r="C94" t="s">
        <v>61</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41</v>
      </c>
      <c r="B95">
        <v>2015</v>
      </c>
      <c r="C95" t="s">
        <v>62</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67</v>
      </c>
      <c r="V95">
        <v>123.8</v>
      </c>
      <c r="W95">
        <v>123.7</v>
      </c>
      <c r="X95">
        <v>121.1</v>
      </c>
      <c r="Y95">
        <v>113.6</v>
      </c>
      <c r="Z95">
        <v>118.5</v>
      </c>
      <c r="AA95">
        <v>123.6</v>
      </c>
      <c r="AB95">
        <v>112.5</v>
      </c>
      <c r="AC95">
        <v>118.2</v>
      </c>
      <c r="AD95">
        <v>126.1</v>
      </c>
    </row>
    <row r="96" spans="1:30" x14ac:dyDescent="0.3">
      <c r="A96" t="s">
        <v>44</v>
      </c>
      <c r="B96">
        <v>2015</v>
      </c>
      <c r="C96" t="s">
        <v>62</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45</v>
      </c>
      <c r="B97">
        <v>2015</v>
      </c>
      <c r="C97" t="s">
        <v>62</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41</v>
      </c>
      <c r="B98">
        <v>2015</v>
      </c>
      <c r="C98" t="s">
        <v>63</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67</v>
      </c>
      <c r="V98">
        <v>123.7</v>
      </c>
      <c r="W98">
        <v>124.5</v>
      </c>
      <c r="X98">
        <v>121.4</v>
      </c>
      <c r="Y98">
        <v>113.8</v>
      </c>
      <c r="Z98">
        <v>119.6</v>
      </c>
      <c r="AA98">
        <v>124.5</v>
      </c>
      <c r="AB98">
        <v>113.7</v>
      </c>
      <c r="AC98">
        <v>118.8</v>
      </c>
      <c r="AD98">
        <v>127</v>
      </c>
    </row>
    <row r="99" spans="1:30" x14ac:dyDescent="0.3">
      <c r="A99" t="s">
        <v>44</v>
      </c>
      <c r="B99">
        <v>2015</v>
      </c>
      <c r="C99" t="s">
        <v>63</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45</v>
      </c>
      <c r="B100">
        <v>2015</v>
      </c>
      <c r="C100" t="s">
        <v>63</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41</v>
      </c>
      <c r="B101">
        <v>2015</v>
      </c>
      <c r="C101" t="s">
        <v>64</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67</v>
      </c>
      <c r="V101">
        <v>124.4</v>
      </c>
      <c r="W101">
        <v>125.1</v>
      </c>
      <c r="X101">
        <v>122</v>
      </c>
      <c r="Y101">
        <v>113.8</v>
      </c>
      <c r="Z101">
        <v>120.1</v>
      </c>
      <c r="AA101">
        <v>125.1</v>
      </c>
      <c r="AB101">
        <v>114.2</v>
      </c>
      <c r="AC101">
        <v>119.2</v>
      </c>
      <c r="AD101">
        <v>127.7</v>
      </c>
    </row>
    <row r="102" spans="1:30" x14ac:dyDescent="0.3">
      <c r="A102" t="s">
        <v>44</v>
      </c>
      <c r="B102">
        <v>2015</v>
      </c>
      <c r="C102" t="s">
        <v>64</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45</v>
      </c>
      <c r="B103">
        <v>2015</v>
      </c>
      <c r="C103" t="s">
        <v>64</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41</v>
      </c>
      <c r="B104">
        <v>2015</v>
      </c>
      <c r="C104" t="s">
        <v>65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67</v>
      </c>
      <c r="V104">
        <v>125.6</v>
      </c>
      <c r="W104">
        <v>125.6</v>
      </c>
      <c r="X104">
        <v>122.6</v>
      </c>
      <c r="Y104">
        <v>114</v>
      </c>
      <c r="Z104">
        <v>120.9</v>
      </c>
      <c r="AA104">
        <v>125.8</v>
      </c>
      <c r="AB104">
        <v>114.2</v>
      </c>
      <c r="AC104">
        <v>119.6</v>
      </c>
      <c r="AD104">
        <v>128.30000000000001</v>
      </c>
    </row>
    <row r="105" spans="1:30" x14ac:dyDescent="0.3">
      <c r="A105" t="s">
        <v>44</v>
      </c>
      <c r="B105">
        <v>2015</v>
      </c>
      <c r="C105" t="s">
        <v>65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45</v>
      </c>
      <c r="B106">
        <v>2015</v>
      </c>
      <c r="C106" t="s">
        <v>65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41</v>
      </c>
      <c r="B107">
        <v>2015</v>
      </c>
      <c r="C107" t="s">
        <v>66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67</v>
      </c>
      <c r="V107">
        <v>125.7</v>
      </c>
      <c r="W107">
        <v>126</v>
      </c>
      <c r="X107">
        <v>123.1</v>
      </c>
      <c r="Y107">
        <v>114</v>
      </c>
      <c r="Z107">
        <v>121.6</v>
      </c>
      <c r="AA107">
        <v>125.6</v>
      </c>
      <c r="AB107">
        <v>114.1</v>
      </c>
      <c r="AC107">
        <v>119.8</v>
      </c>
      <c r="AD107">
        <v>127.9</v>
      </c>
    </row>
    <row r="108" spans="1:30" x14ac:dyDescent="0.3">
      <c r="A108" t="s">
        <v>44</v>
      </c>
      <c r="B108">
        <v>2015</v>
      </c>
      <c r="C108" t="s">
        <v>66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45</v>
      </c>
      <c r="B109">
        <v>2015</v>
      </c>
      <c r="C109" t="s">
        <v>66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41</v>
      </c>
      <c r="B110">
        <v>2016</v>
      </c>
      <c r="C110" t="s">
        <v>56</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67</v>
      </c>
      <c r="V110">
        <v>126.2</v>
      </c>
      <c r="W110">
        <v>126.6</v>
      </c>
      <c r="X110">
        <v>123.7</v>
      </c>
      <c r="Y110">
        <v>113.6</v>
      </c>
      <c r="Z110">
        <v>121.4</v>
      </c>
      <c r="AA110">
        <v>126.2</v>
      </c>
      <c r="AB110">
        <v>114.9</v>
      </c>
      <c r="AC110">
        <v>120.1</v>
      </c>
      <c r="AD110">
        <v>128.1</v>
      </c>
    </row>
    <row r="111" spans="1:30" x14ac:dyDescent="0.3">
      <c r="A111" t="s">
        <v>44</v>
      </c>
      <c r="B111">
        <v>2016</v>
      </c>
      <c r="C111" t="s">
        <v>56</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45</v>
      </c>
      <c r="B112">
        <v>2016</v>
      </c>
      <c r="C112" t="s">
        <v>56</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41</v>
      </c>
      <c r="B113">
        <v>2016</v>
      </c>
      <c r="C113" t="s">
        <v>57</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67</v>
      </c>
      <c r="V113">
        <v>127.5</v>
      </c>
      <c r="W113">
        <v>127.1</v>
      </c>
      <c r="X113">
        <v>124.3</v>
      </c>
      <c r="Y113">
        <v>113.9</v>
      </c>
      <c r="Z113">
        <v>122.3</v>
      </c>
      <c r="AA113">
        <v>127.1</v>
      </c>
      <c r="AB113">
        <v>116.8</v>
      </c>
      <c r="AC113">
        <v>120.9</v>
      </c>
      <c r="AD113">
        <v>127.9</v>
      </c>
    </row>
    <row r="114" spans="1:30" x14ac:dyDescent="0.3">
      <c r="A114" t="s">
        <v>44</v>
      </c>
      <c r="B114">
        <v>2016</v>
      </c>
      <c r="C114" t="s">
        <v>57</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45</v>
      </c>
      <c r="B115">
        <v>2016</v>
      </c>
      <c r="C115" t="s">
        <v>57</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41</v>
      </c>
      <c r="B116">
        <v>2016</v>
      </c>
      <c r="C116" t="s">
        <v>58</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67</v>
      </c>
      <c r="V116">
        <v>127</v>
      </c>
      <c r="W116">
        <v>127.7</v>
      </c>
      <c r="X116">
        <v>124.8</v>
      </c>
      <c r="Y116">
        <v>113.6</v>
      </c>
      <c r="Z116">
        <v>122.5</v>
      </c>
      <c r="AA116">
        <v>127.5</v>
      </c>
      <c r="AB116">
        <v>117.4</v>
      </c>
      <c r="AC116">
        <v>121.1</v>
      </c>
      <c r="AD116">
        <v>128</v>
      </c>
    </row>
    <row r="117" spans="1:30" x14ac:dyDescent="0.3">
      <c r="A117" t="s">
        <v>44</v>
      </c>
      <c r="B117">
        <v>2016</v>
      </c>
      <c r="C117" t="s">
        <v>58</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45</v>
      </c>
      <c r="B118">
        <v>2016</v>
      </c>
      <c r="C118" t="s">
        <v>58</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41</v>
      </c>
      <c r="B119">
        <v>2016</v>
      </c>
      <c r="C119" t="s">
        <v>59</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67</v>
      </c>
      <c r="V119">
        <v>127</v>
      </c>
      <c r="W119">
        <v>128</v>
      </c>
      <c r="X119">
        <v>125.2</v>
      </c>
      <c r="Y119">
        <v>114.4</v>
      </c>
      <c r="Z119">
        <v>123.2</v>
      </c>
      <c r="AA119">
        <v>127.9</v>
      </c>
      <c r="AB119">
        <v>118.4</v>
      </c>
      <c r="AC119">
        <v>121.7</v>
      </c>
      <c r="AD119">
        <v>129</v>
      </c>
    </row>
    <row r="120" spans="1:30" x14ac:dyDescent="0.3">
      <c r="A120" t="s">
        <v>44</v>
      </c>
      <c r="B120">
        <v>2016</v>
      </c>
      <c r="C120" t="s">
        <v>59</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45</v>
      </c>
      <c r="B121">
        <v>2016</v>
      </c>
      <c r="C121" t="s">
        <v>59</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41</v>
      </c>
      <c r="B122">
        <v>2016</v>
      </c>
      <c r="C122" t="s">
        <v>42</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67</v>
      </c>
      <c r="V122">
        <v>127.4</v>
      </c>
      <c r="W122">
        <v>128.5</v>
      </c>
      <c r="X122">
        <v>125.8</v>
      </c>
      <c r="Y122">
        <v>115.1</v>
      </c>
      <c r="Z122">
        <v>123.6</v>
      </c>
      <c r="AA122">
        <v>129.1</v>
      </c>
      <c r="AB122">
        <v>119.7</v>
      </c>
      <c r="AC122">
        <v>122.5</v>
      </c>
      <c r="AD122">
        <v>130.30000000000001</v>
      </c>
    </row>
    <row r="123" spans="1:30" x14ac:dyDescent="0.3">
      <c r="A123" t="s">
        <v>44</v>
      </c>
      <c r="B123">
        <v>2016</v>
      </c>
      <c r="C123" t="s">
        <v>42</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45</v>
      </c>
      <c r="B124">
        <v>2016</v>
      </c>
      <c r="C124" t="s">
        <v>42</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41</v>
      </c>
      <c r="B125">
        <v>2016</v>
      </c>
      <c r="C125" t="s">
        <v>60</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67</v>
      </c>
      <c r="V125">
        <v>128</v>
      </c>
      <c r="W125">
        <v>129.30000000000001</v>
      </c>
      <c r="X125">
        <v>126.2</v>
      </c>
      <c r="Y125">
        <v>116.3</v>
      </c>
      <c r="Z125">
        <v>124.1</v>
      </c>
      <c r="AA125">
        <v>130.19999999999999</v>
      </c>
      <c r="AB125">
        <v>119.9</v>
      </c>
      <c r="AC125">
        <v>123.3</v>
      </c>
      <c r="AD125">
        <v>131.9</v>
      </c>
    </row>
    <row r="126" spans="1:30" x14ac:dyDescent="0.3">
      <c r="A126" t="s">
        <v>44</v>
      </c>
      <c r="B126">
        <v>2016</v>
      </c>
      <c r="C126" t="s">
        <v>60</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45</v>
      </c>
      <c r="B127">
        <v>2016</v>
      </c>
      <c r="C127" t="s">
        <v>60</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41</v>
      </c>
      <c r="B128">
        <v>2016</v>
      </c>
      <c r="C128" t="s">
        <v>61</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67</v>
      </c>
      <c r="V128">
        <v>128.19999999999999</v>
      </c>
      <c r="W128">
        <v>130</v>
      </c>
      <c r="X128">
        <v>126.7</v>
      </c>
      <c r="Y128">
        <v>116.4</v>
      </c>
      <c r="Z128">
        <v>125.2</v>
      </c>
      <c r="AA128">
        <v>130.80000000000001</v>
      </c>
      <c r="AB128">
        <v>120.9</v>
      </c>
      <c r="AC128">
        <v>123.8</v>
      </c>
      <c r="AD128">
        <v>133</v>
      </c>
    </row>
    <row r="129" spans="1:30" x14ac:dyDescent="0.3">
      <c r="A129" t="s">
        <v>44</v>
      </c>
      <c r="B129">
        <v>2016</v>
      </c>
      <c r="C129" t="s">
        <v>61</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45</v>
      </c>
      <c r="B130">
        <v>2016</v>
      </c>
      <c r="C130" t="s">
        <v>61</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41</v>
      </c>
      <c r="B131">
        <v>2016</v>
      </c>
      <c r="C131" t="s">
        <v>62</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67</v>
      </c>
      <c r="V131">
        <v>129.1</v>
      </c>
      <c r="W131">
        <v>130.6</v>
      </c>
      <c r="X131">
        <v>127</v>
      </c>
      <c r="Y131">
        <v>116</v>
      </c>
      <c r="Z131">
        <v>125.5</v>
      </c>
      <c r="AA131">
        <v>131.9</v>
      </c>
      <c r="AB131">
        <v>122</v>
      </c>
      <c r="AC131">
        <v>124.2</v>
      </c>
      <c r="AD131">
        <v>133.5</v>
      </c>
    </row>
    <row r="132" spans="1:30" x14ac:dyDescent="0.3">
      <c r="A132" t="s">
        <v>44</v>
      </c>
      <c r="B132">
        <v>2016</v>
      </c>
      <c r="C132" t="s">
        <v>62</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45</v>
      </c>
      <c r="B133">
        <v>2016</v>
      </c>
      <c r="C133" t="s">
        <v>62</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41</v>
      </c>
      <c r="B134">
        <v>2016</v>
      </c>
      <c r="C134" t="s">
        <v>63</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67</v>
      </c>
      <c r="V134">
        <v>129.69999999999999</v>
      </c>
      <c r="W134">
        <v>131.1</v>
      </c>
      <c r="X134">
        <v>127.8</v>
      </c>
      <c r="Y134">
        <v>117</v>
      </c>
      <c r="Z134">
        <v>125.7</v>
      </c>
      <c r="AA134">
        <v>132.19999999999999</v>
      </c>
      <c r="AB134">
        <v>122.8</v>
      </c>
      <c r="AC134">
        <v>124.9</v>
      </c>
      <c r="AD134">
        <v>133.4</v>
      </c>
    </row>
    <row r="135" spans="1:30" x14ac:dyDescent="0.3">
      <c r="A135" t="s">
        <v>44</v>
      </c>
      <c r="B135">
        <v>2016</v>
      </c>
      <c r="C135" t="s">
        <v>63</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45</v>
      </c>
      <c r="B136">
        <v>2016</v>
      </c>
      <c r="C136" t="s">
        <v>63</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41</v>
      </c>
      <c r="B137">
        <v>2016</v>
      </c>
      <c r="C137" t="s">
        <v>64</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67</v>
      </c>
      <c r="V137">
        <v>129.80000000000001</v>
      </c>
      <c r="W137">
        <v>131.80000000000001</v>
      </c>
      <c r="X137">
        <v>128.69999999999999</v>
      </c>
      <c r="Y137">
        <v>117.8</v>
      </c>
      <c r="Z137">
        <v>126.5</v>
      </c>
      <c r="AA137">
        <v>133</v>
      </c>
      <c r="AB137">
        <v>123</v>
      </c>
      <c r="AC137">
        <v>125.7</v>
      </c>
      <c r="AD137">
        <v>133.80000000000001</v>
      </c>
    </row>
    <row r="138" spans="1:30" x14ac:dyDescent="0.3">
      <c r="A138" t="s">
        <v>44</v>
      </c>
      <c r="B138">
        <v>2016</v>
      </c>
      <c r="C138" t="s">
        <v>64</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45</v>
      </c>
      <c r="B139">
        <v>2016</v>
      </c>
      <c r="C139" t="s">
        <v>64</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41</v>
      </c>
      <c r="B140">
        <v>2016</v>
      </c>
      <c r="C140" t="s">
        <v>65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67</v>
      </c>
      <c r="V140">
        <v>130.30000000000001</v>
      </c>
      <c r="W140">
        <v>132.1</v>
      </c>
      <c r="X140">
        <v>129.1</v>
      </c>
      <c r="Y140">
        <v>118.2</v>
      </c>
      <c r="Z140">
        <v>126.9</v>
      </c>
      <c r="AA140">
        <v>133.69999999999999</v>
      </c>
      <c r="AB140">
        <v>123.5</v>
      </c>
      <c r="AC140">
        <v>126.1</v>
      </c>
      <c r="AD140">
        <v>133.6</v>
      </c>
    </row>
    <row r="141" spans="1:30" x14ac:dyDescent="0.3">
      <c r="A141" t="s">
        <v>44</v>
      </c>
      <c r="B141">
        <v>2016</v>
      </c>
      <c r="C141" t="s">
        <v>65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45</v>
      </c>
      <c r="B142">
        <v>2016</v>
      </c>
      <c r="C142" t="s">
        <v>65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41</v>
      </c>
      <c r="B143">
        <v>2016</v>
      </c>
      <c r="C143" t="s">
        <v>66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67</v>
      </c>
      <c r="V143">
        <v>132</v>
      </c>
      <c r="W143">
        <v>132.9</v>
      </c>
      <c r="X143">
        <v>129.69999999999999</v>
      </c>
      <c r="Y143">
        <v>118.6</v>
      </c>
      <c r="Z143">
        <v>127.3</v>
      </c>
      <c r="AA143">
        <v>134.19999999999999</v>
      </c>
      <c r="AB143">
        <v>121.9</v>
      </c>
      <c r="AC143">
        <v>126.3</v>
      </c>
      <c r="AD143">
        <v>132.80000000000001</v>
      </c>
    </row>
    <row r="144" spans="1:30" x14ac:dyDescent="0.3">
      <c r="A144" t="s">
        <v>44</v>
      </c>
      <c r="B144">
        <v>2016</v>
      </c>
      <c r="C144" t="s">
        <v>66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45</v>
      </c>
      <c r="B145">
        <v>2016</v>
      </c>
      <c r="C145" t="s">
        <v>66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41</v>
      </c>
      <c r="B146">
        <v>2017</v>
      </c>
      <c r="C146" t="s">
        <v>56</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67</v>
      </c>
      <c r="V146">
        <v>132.1</v>
      </c>
      <c r="W146">
        <v>133.19999999999999</v>
      </c>
      <c r="X146">
        <v>129.9</v>
      </c>
      <c r="Y146">
        <v>119.1</v>
      </c>
      <c r="Z146">
        <v>127</v>
      </c>
      <c r="AA146">
        <v>134.6</v>
      </c>
      <c r="AB146">
        <v>122.3</v>
      </c>
      <c r="AC146">
        <v>126.6</v>
      </c>
      <c r="AD146">
        <v>132.4</v>
      </c>
    </row>
    <row r="147" spans="1:30" x14ac:dyDescent="0.3">
      <c r="A147" t="s">
        <v>44</v>
      </c>
      <c r="B147">
        <v>2017</v>
      </c>
      <c r="C147" t="s">
        <v>56</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45</v>
      </c>
      <c r="B148">
        <v>2017</v>
      </c>
      <c r="C148" t="s">
        <v>56</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41</v>
      </c>
      <c r="B149">
        <v>2017</v>
      </c>
      <c r="C149" t="s">
        <v>57</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67</v>
      </c>
      <c r="V149">
        <v>133.19999999999999</v>
      </c>
      <c r="W149">
        <v>133.6</v>
      </c>
      <c r="X149">
        <v>130.1</v>
      </c>
      <c r="Y149">
        <v>119.5</v>
      </c>
      <c r="Z149">
        <v>127.7</v>
      </c>
      <c r="AA149">
        <v>134.9</v>
      </c>
      <c r="AB149">
        <v>123.2</v>
      </c>
      <c r="AC149">
        <v>127</v>
      </c>
      <c r="AD149">
        <v>132.6</v>
      </c>
    </row>
    <row r="150" spans="1:30" x14ac:dyDescent="0.3">
      <c r="A150" t="s">
        <v>44</v>
      </c>
      <c r="B150">
        <v>2017</v>
      </c>
      <c r="C150" t="s">
        <v>57</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45</v>
      </c>
      <c r="B151">
        <v>2017</v>
      </c>
      <c r="C151" t="s">
        <v>57</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41</v>
      </c>
      <c r="B152">
        <v>2017</v>
      </c>
      <c r="C152" t="s">
        <v>58</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67</v>
      </c>
      <c r="V152">
        <v>134.19999999999999</v>
      </c>
      <c r="W152">
        <v>134.1</v>
      </c>
      <c r="X152">
        <v>130.6</v>
      </c>
      <c r="Y152">
        <v>119.8</v>
      </c>
      <c r="Z152">
        <v>128.30000000000001</v>
      </c>
      <c r="AA152">
        <v>135.19999999999999</v>
      </c>
      <c r="AB152">
        <v>123.3</v>
      </c>
      <c r="AC152">
        <v>127.4</v>
      </c>
      <c r="AD152">
        <v>132.80000000000001</v>
      </c>
    </row>
    <row r="153" spans="1:30" x14ac:dyDescent="0.3">
      <c r="A153" t="s">
        <v>44</v>
      </c>
      <c r="B153">
        <v>2017</v>
      </c>
      <c r="C153" t="s">
        <v>58</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45</v>
      </c>
      <c r="B154">
        <v>2017</v>
      </c>
      <c r="C154" t="s">
        <v>58</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41</v>
      </c>
      <c r="B155">
        <v>2017</v>
      </c>
      <c r="C155" t="s">
        <v>59</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67</v>
      </c>
      <c r="V155">
        <v>135</v>
      </c>
      <c r="W155">
        <v>134.30000000000001</v>
      </c>
      <c r="X155">
        <v>131</v>
      </c>
      <c r="Y155">
        <v>119.2</v>
      </c>
      <c r="Z155">
        <v>128.30000000000001</v>
      </c>
      <c r="AA155">
        <v>135.69999999999999</v>
      </c>
      <c r="AB155">
        <v>123.7</v>
      </c>
      <c r="AC155">
        <v>127.5</v>
      </c>
      <c r="AD155">
        <v>132.9</v>
      </c>
    </row>
    <row r="156" spans="1:30" x14ac:dyDescent="0.3">
      <c r="A156" t="s">
        <v>44</v>
      </c>
      <c r="B156">
        <v>2017</v>
      </c>
      <c r="C156" t="s">
        <v>59</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45</v>
      </c>
      <c r="B157">
        <v>2017</v>
      </c>
      <c r="C157" t="s">
        <v>59</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41</v>
      </c>
      <c r="B158">
        <v>2017</v>
      </c>
      <c r="C158" t="s">
        <v>42</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67</v>
      </c>
      <c r="V158">
        <v>135</v>
      </c>
      <c r="W158">
        <v>134.9</v>
      </c>
      <c r="X158">
        <v>131.4</v>
      </c>
      <c r="Y158">
        <v>119.4</v>
      </c>
      <c r="Z158">
        <v>129.4</v>
      </c>
      <c r="AA158">
        <v>136.30000000000001</v>
      </c>
      <c r="AB158">
        <v>123.7</v>
      </c>
      <c r="AC158">
        <v>127.9</v>
      </c>
      <c r="AD158">
        <v>133.30000000000001</v>
      </c>
    </row>
    <row r="159" spans="1:30" x14ac:dyDescent="0.3">
      <c r="A159" t="s">
        <v>44</v>
      </c>
      <c r="B159">
        <v>2017</v>
      </c>
      <c r="C159" t="s">
        <v>42</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45</v>
      </c>
      <c r="B160">
        <v>2017</v>
      </c>
      <c r="C160" t="s">
        <v>42</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41</v>
      </c>
      <c r="B161">
        <v>2017</v>
      </c>
      <c r="C161" t="s">
        <v>60</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67</v>
      </c>
      <c r="V161">
        <v>134.80000000000001</v>
      </c>
      <c r="W161">
        <v>135.19999999999999</v>
      </c>
      <c r="X161">
        <v>131.30000000000001</v>
      </c>
      <c r="Y161">
        <v>119.4</v>
      </c>
      <c r="Z161">
        <v>129.80000000000001</v>
      </c>
      <c r="AA161">
        <v>136.9</v>
      </c>
      <c r="AB161">
        <v>124.1</v>
      </c>
      <c r="AC161">
        <v>128.1</v>
      </c>
      <c r="AD161">
        <v>133.9</v>
      </c>
    </row>
    <row r="162" spans="1:30" x14ac:dyDescent="0.3">
      <c r="A162" t="s">
        <v>44</v>
      </c>
      <c r="B162">
        <v>2017</v>
      </c>
      <c r="C162" t="s">
        <v>60</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45</v>
      </c>
      <c r="B163">
        <v>2017</v>
      </c>
      <c r="C163" t="s">
        <v>60</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41</v>
      </c>
      <c r="B164">
        <v>2017</v>
      </c>
      <c r="C164" t="s">
        <v>61</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67</v>
      </c>
      <c r="V164">
        <v>135.30000000000001</v>
      </c>
      <c r="W164">
        <v>136.1</v>
      </c>
      <c r="X164">
        <v>132.1</v>
      </c>
      <c r="Y164">
        <v>119.1</v>
      </c>
      <c r="Z164">
        <v>130.6</v>
      </c>
      <c r="AA164">
        <v>138.6</v>
      </c>
      <c r="AB164">
        <v>124.4</v>
      </c>
      <c r="AC164">
        <v>128.6</v>
      </c>
      <c r="AD164">
        <v>136.19999999999999</v>
      </c>
    </row>
    <row r="165" spans="1:30" x14ac:dyDescent="0.3">
      <c r="A165" t="s">
        <v>44</v>
      </c>
      <c r="B165">
        <v>2017</v>
      </c>
      <c r="C165" t="s">
        <v>61</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45</v>
      </c>
      <c r="B166">
        <v>2017</v>
      </c>
      <c r="C166" t="s">
        <v>61</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41</v>
      </c>
      <c r="B167">
        <v>2017</v>
      </c>
      <c r="C167" t="s">
        <v>62</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67</v>
      </c>
      <c r="V167">
        <v>136.4</v>
      </c>
      <c r="W167">
        <v>137.30000000000001</v>
      </c>
      <c r="X167">
        <v>133</v>
      </c>
      <c r="Y167">
        <v>120.3</v>
      </c>
      <c r="Z167">
        <v>131.5</v>
      </c>
      <c r="AA167">
        <v>140.19999999999999</v>
      </c>
      <c r="AB167">
        <v>125.4</v>
      </c>
      <c r="AC167">
        <v>129.69999999999999</v>
      </c>
      <c r="AD167">
        <v>137.80000000000001</v>
      </c>
    </row>
    <row r="168" spans="1:30" x14ac:dyDescent="0.3">
      <c r="A168" t="s">
        <v>44</v>
      </c>
      <c r="B168">
        <v>2017</v>
      </c>
      <c r="C168" t="s">
        <v>62</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45</v>
      </c>
      <c r="B169">
        <v>2017</v>
      </c>
      <c r="C169" t="s">
        <v>62</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41</v>
      </c>
      <c r="B170">
        <v>2017</v>
      </c>
      <c r="C170" t="s">
        <v>63</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67</v>
      </c>
      <c r="V170">
        <v>137.4</v>
      </c>
      <c r="W170">
        <v>137.9</v>
      </c>
      <c r="X170">
        <v>133.4</v>
      </c>
      <c r="Y170">
        <v>121.2</v>
      </c>
      <c r="Z170">
        <v>132.30000000000001</v>
      </c>
      <c r="AA170">
        <v>139.6</v>
      </c>
      <c r="AB170">
        <v>126.7</v>
      </c>
      <c r="AC170">
        <v>130.30000000000001</v>
      </c>
      <c r="AD170">
        <v>137.6</v>
      </c>
    </row>
    <row r="171" spans="1:30" x14ac:dyDescent="0.3">
      <c r="A171" t="s">
        <v>44</v>
      </c>
      <c r="B171">
        <v>2017</v>
      </c>
      <c r="C171" t="s">
        <v>63</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45</v>
      </c>
      <c r="B172">
        <v>2017</v>
      </c>
      <c r="C172" t="s">
        <v>63</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41</v>
      </c>
      <c r="B173">
        <v>2017</v>
      </c>
      <c r="C173" t="s">
        <v>64</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67</v>
      </c>
      <c r="V173">
        <v>138.1</v>
      </c>
      <c r="W173">
        <v>138.4</v>
      </c>
      <c r="X173">
        <v>134.19999999999999</v>
      </c>
      <c r="Y173">
        <v>121</v>
      </c>
      <c r="Z173">
        <v>133</v>
      </c>
      <c r="AA173">
        <v>140.1</v>
      </c>
      <c r="AB173">
        <v>127.4</v>
      </c>
      <c r="AC173">
        <v>130.69999999999999</v>
      </c>
      <c r="AD173">
        <v>138.30000000000001</v>
      </c>
    </row>
    <row r="174" spans="1:30" x14ac:dyDescent="0.3">
      <c r="A174" t="s">
        <v>44</v>
      </c>
      <c r="B174">
        <v>2017</v>
      </c>
      <c r="C174" t="s">
        <v>64</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45</v>
      </c>
      <c r="B175">
        <v>2017</v>
      </c>
      <c r="C175" t="s">
        <v>64</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41</v>
      </c>
      <c r="B176">
        <v>2017</v>
      </c>
      <c r="C176" t="s">
        <v>65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67</v>
      </c>
      <c r="V176">
        <v>141.1</v>
      </c>
      <c r="W176">
        <v>139.4</v>
      </c>
      <c r="X176">
        <v>135.80000000000001</v>
      </c>
      <c r="Y176">
        <v>121.6</v>
      </c>
      <c r="Z176">
        <v>133.69999999999999</v>
      </c>
      <c r="AA176">
        <v>141.5</v>
      </c>
      <c r="AB176">
        <v>128.1</v>
      </c>
      <c r="AC176">
        <v>131.69999999999999</v>
      </c>
      <c r="AD176">
        <v>140</v>
      </c>
    </row>
    <row r="177" spans="1:30" x14ac:dyDescent="0.3">
      <c r="A177" t="s">
        <v>44</v>
      </c>
      <c r="B177">
        <v>2017</v>
      </c>
      <c r="C177" t="s">
        <v>65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45</v>
      </c>
      <c r="B178">
        <v>2017</v>
      </c>
      <c r="C178" t="s">
        <v>65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41</v>
      </c>
      <c r="B179">
        <v>2017</v>
      </c>
      <c r="C179" t="s">
        <v>66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67</v>
      </c>
      <c r="V179">
        <v>142.6</v>
      </c>
      <c r="W179">
        <v>139.5</v>
      </c>
      <c r="X179">
        <v>136.1</v>
      </c>
      <c r="Y179">
        <v>122</v>
      </c>
      <c r="Z179">
        <v>133.4</v>
      </c>
      <c r="AA179">
        <v>141.1</v>
      </c>
      <c r="AB179">
        <v>127.8</v>
      </c>
      <c r="AC179">
        <v>131.9</v>
      </c>
      <c r="AD179">
        <v>139.80000000000001</v>
      </c>
    </row>
    <row r="180" spans="1:30" x14ac:dyDescent="0.3">
      <c r="A180" t="s">
        <v>44</v>
      </c>
      <c r="B180">
        <v>2017</v>
      </c>
      <c r="C180" t="s">
        <v>66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45</v>
      </c>
      <c r="B181">
        <v>2017</v>
      </c>
      <c r="C181" t="s">
        <v>66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41</v>
      </c>
      <c r="B182">
        <v>2018</v>
      </c>
      <c r="C182" t="s">
        <v>56</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67</v>
      </c>
      <c r="V182">
        <v>142.30000000000001</v>
      </c>
      <c r="W182">
        <v>139.80000000000001</v>
      </c>
      <c r="X182">
        <v>136</v>
      </c>
      <c r="Y182">
        <v>122.7</v>
      </c>
      <c r="Z182">
        <v>134.30000000000001</v>
      </c>
      <c r="AA182">
        <v>141.6</v>
      </c>
      <c r="AB182">
        <v>128.6</v>
      </c>
      <c r="AC182">
        <v>132.30000000000001</v>
      </c>
      <c r="AD182">
        <v>139.30000000000001</v>
      </c>
    </row>
    <row r="183" spans="1:30" x14ac:dyDescent="0.3">
      <c r="A183" t="s">
        <v>44</v>
      </c>
      <c r="B183">
        <v>2018</v>
      </c>
      <c r="C183" t="s">
        <v>56</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45</v>
      </c>
      <c r="B184">
        <v>2018</v>
      </c>
      <c r="C184" t="s">
        <v>56</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41</v>
      </c>
      <c r="B185">
        <v>2018</v>
      </c>
      <c r="C185" t="s">
        <v>57</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67</v>
      </c>
      <c r="V185">
        <v>142.4</v>
      </c>
      <c r="W185">
        <v>139.9</v>
      </c>
      <c r="X185">
        <v>136.19999999999999</v>
      </c>
      <c r="Y185">
        <v>123.3</v>
      </c>
      <c r="Z185">
        <v>134.30000000000001</v>
      </c>
      <c r="AA185">
        <v>141.5</v>
      </c>
      <c r="AB185">
        <v>128.80000000000001</v>
      </c>
      <c r="AC185">
        <v>132.5</v>
      </c>
      <c r="AD185">
        <v>138.5</v>
      </c>
    </row>
    <row r="186" spans="1:30" x14ac:dyDescent="0.3">
      <c r="A186" t="s">
        <v>44</v>
      </c>
      <c r="B186">
        <v>2018</v>
      </c>
      <c r="C186" t="s">
        <v>57</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45</v>
      </c>
      <c r="B187">
        <v>2018</v>
      </c>
      <c r="C187" t="s">
        <v>57</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41</v>
      </c>
      <c r="B188">
        <v>2018</v>
      </c>
      <c r="C188" t="s">
        <v>58</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67</v>
      </c>
      <c r="V188">
        <v>142.6</v>
      </c>
      <c r="W188">
        <v>139.9</v>
      </c>
      <c r="X188">
        <v>136.69999999999999</v>
      </c>
      <c r="Y188">
        <v>124.6</v>
      </c>
      <c r="Z188">
        <v>135.1</v>
      </c>
      <c r="AA188">
        <v>142.69999999999999</v>
      </c>
      <c r="AB188">
        <v>129.30000000000001</v>
      </c>
      <c r="AC188">
        <v>133.30000000000001</v>
      </c>
      <c r="AD188">
        <v>138.69999999999999</v>
      </c>
    </row>
    <row r="189" spans="1:30" x14ac:dyDescent="0.3">
      <c r="A189" t="s">
        <v>44</v>
      </c>
      <c r="B189">
        <v>2018</v>
      </c>
      <c r="C189" t="s">
        <v>58</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45</v>
      </c>
      <c r="B190">
        <v>2018</v>
      </c>
      <c r="C190" t="s">
        <v>58</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41</v>
      </c>
      <c r="B191">
        <v>2018</v>
      </c>
      <c r="C191" t="s">
        <v>59</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67</v>
      </c>
      <c r="V191">
        <v>143.80000000000001</v>
      </c>
      <c r="W191">
        <v>140.9</v>
      </c>
      <c r="X191">
        <v>137.6</v>
      </c>
      <c r="Y191">
        <v>125.3</v>
      </c>
      <c r="Z191">
        <v>136</v>
      </c>
      <c r="AA191">
        <v>143.69999999999999</v>
      </c>
      <c r="AB191">
        <v>130.4</v>
      </c>
      <c r="AC191">
        <v>134.19999999999999</v>
      </c>
      <c r="AD191">
        <v>139.1</v>
      </c>
    </row>
    <row r="192" spans="1:30" x14ac:dyDescent="0.3">
      <c r="A192" t="s">
        <v>44</v>
      </c>
      <c r="B192">
        <v>2018</v>
      </c>
      <c r="C192" t="s">
        <v>59</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45</v>
      </c>
      <c r="B193">
        <v>2018</v>
      </c>
      <c r="C193" t="s">
        <v>59</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41</v>
      </c>
      <c r="B194">
        <v>2018</v>
      </c>
      <c r="C194" t="s">
        <v>42</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67</v>
      </c>
      <c r="V194">
        <v>144.30000000000001</v>
      </c>
      <c r="W194">
        <v>141.80000000000001</v>
      </c>
      <c r="X194">
        <v>138.4</v>
      </c>
      <c r="Y194">
        <v>126.4</v>
      </c>
      <c r="Z194">
        <v>136.80000000000001</v>
      </c>
      <c r="AA194">
        <v>144.4</v>
      </c>
      <c r="AB194">
        <v>131.19999999999999</v>
      </c>
      <c r="AC194">
        <v>135.1</v>
      </c>
      <c r="AD194">
        <v>139.80000000000001</v>
      </c>
    </row>
    <row r="195" spans="1:30" x14ac:dyDescent="0.3">
      <c r="A195" t="s">
        <v>44</v>
      </c>
      <c r="B195">
        <v>2018</v>
      </c>
      <c r="C195" t="s">
        <v>42</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45</v>
      </c>
      <c r="B196">
        <v>2018</v>
      </c>
      <c r="C196" t="s">
        <v>42</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41</v>
      </c>
      <c r="B197">
        <v>2018</v>
      </c>
      <c r="C197" t="s">
        <v>60</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67</v>
      </c>
      <c r="V197">
        <v>145.1</v>
      </c>
      <c r="W197">
        <v>142.19999999999999</v>
      </c>
      <c r="X197">
        <v>138.4</v>
      </c>
      <c r="Y197">
        <v>127.4</v>
      </c>
      <c r="Z197">
        <v>137.80000000000001</v>
      </c>
      <c r="AA197">
        <v>145.1</v>
      </c>
      <c r="AB197">
        <v>131.4</v>
      </c>
      <c r="AC197">
        <v>135.6</v>
      </c>
      <c r="AD197">
        <v>140.5</v>
      </c>
    </row>
    <row r="198" spans="1:30" x14ac:dyDescent="0.3">
      <c r="A198" t="s">
        <v>44</v>
      </c>
      <c r="B198">
        <v>2018</v>
      </c>
      <c r="C198" t="s">
        <v>60</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45</v>
      </c>
      <c r="B199">
        <v>2018</v>
      </c>
      <c r="C199" t="s">
        <v>60</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41</v>
      </c>
      <c r="B200">
        <v>2018</v>
      </c>
      <c r="C200" t="s">
        <v>61</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67</v>
      </c>
      <c r="V200">
        <v>146.80000000000001</v>
      </c>
      <c r="W200">
        <v>143.1</v>
      </c>
      <c r="X200">
        <v>139</v>
      </c>
      <c r="Y200">
        <v>127.5</v>
      </c>
      <c r="Z200">
        <v>138.4</v>
      </c>
      <c r="AA200">
        <v>145.80000000000001</v>
      </c>
      <c r="AB200">
        <v>131.4</v>
      </c>
      <c r="AC200">
        <v>136</v>
      </c>
      <c r="AD200">
        <v>141.80000000000001</v>
      </c>
    </row>
    <row r="201" spans="1:30" x14ac:dyDescent="0.3">
      <c r="A201" t="s">
        <v>44</v>
      </c>
      <c r="B201">
        <v>2018</v>
      </c>
      <c r="C201" t="s">
        <v>61</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45</v>
      </c>
      <c r="B202">
        <v>2018</v>
      </c>
      <c r="C202" t="s">
        <v>61</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41</v>
      </c>
      <c r="B203">
        <v>2018</v>
      </c>
      <c r="C203" t="s">
        <v>62</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67</v>
      </c>
      <c r="V203">
        <v>147.69999999999999</v>
      </c>
      <c r="W203">
        <v>143.80000000000001</v>
      </c>
      <c r="X203">
        <v>139.4</v>
      </c>
      <c r="Y203">
        <v>128.30000000000001</v>
      </c>
      <c r="Z203">
        <v>138.6</v>
      </c>
      <c r="AA203">
        <v>146.9</v>
      </c>
      <c r="AB203">
        <v>131.30000000000001</v>
      </c>
      <c r="AC203">
        <v>136.6</v>
      </c>
      <c r="AD203">
        <v>142.5</v>
      </c>
    </row>
    <row r="204" spans="1:30" x14ac:dyDescent="0.3">
      <c r="A204" t="s">
        <v>44</v>
      </c>
      <c r="B204">
        <v>2018</v>
      </c>
      <c r="C204" t="s">
        <v>62</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45</v>
      </c>
      <c r="B205">
        <v>2018</v>
      </c>
      <c r="C205" t="s">
        <v>62</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41</v>
      </c>
      <c r="B206">
        <v>2018</v>
      </c>
      <c r="C206" t="s">
        <v>63</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67</v>
      </c>
      <c r="V206">
        <v>149</v>
      </c>
      <c r="W206">
        <v>144</v>
      </c>
      <c r="X206">
        <v>140</v>
      </c>
      <c r="Y206">
        <v>129.9</v>
      </c>
      <c r="Z206">
        <v>140</v>
      </c>
      <c r="AA206">
        <v>147.6</v>
      </c>
      <c r="AB206">
        <v>132</v>
      </c>
      <c r="AC206">
        <v>137.4</v>
      </c>
      <c r="AD206">
        <v>142.1</v>
      </c>
    </row>
    <row r="207" spans="1:30" x14ac:dyDescent="0.3">
      <c r="A207" t="s">
        <v>44</v>
      </c>
      <c r="B207">
        <v>2018</v>
      </c>
      <c r="C207" t="s">
        <v>63</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45</v>
      </c>
      <c r="B208">
        <v>2018</v>
      </c>
      <c r="C208" t="s">
        <v>63</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41</v>
      </c>
      <c r="B209">
        <v>2018</v>
      </c>
      <c r="C209" t="s">
        <v>64</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67</v>
      </c>
      <c r="V209">
        <v>149.69999999999999</v>
      </c>
      <c r="W209">
        <v>147.5</v>
      </c>
      <c r="X209">
        <v>144.80000000000001</v>
      </c>
      <c r="Y209">
        <v>130.80000000000001</v>
      </c>
      <c r="Z209">
        <v>140.1</v>
      </c>
      <c r="AA209">
        <v>148</v>
      </c>
      <c r="AB209">
        <v>134.4</v>
      </c>
      <c r="AC209">
        <v>139.80000000000001</v>
      </c>
      <c r="AD209">
        <v>142.19999999999999</v>
      </c>
    </row>
    <row r="210" spans="1:30" x14ac:dyDescent="0.3">
      <c r="A210" t="s">
        <v>44</v>
      </c>
      <c r="B210">
        <v>2018</v>
      </c>
      <c r="C210" t="s">
        <v>64</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45</v>
      </c>
      <c r="B211">
        <v>2018</v>
      </c>
      <c r="C211" t="s">
        <v>64</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41</v>
      </c>
      <c r="B212">
        <v>2018</v>
      </c>
      <c r="C212" t="s">
        <v>65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67</v>
      </c>
      <c r="V212">
        <v>150.30000000000001</v>
      </c>
      <c r="W212">
        <v>148</v>
      </c>
      <c r="X212">
        <v>145.4</v>
      </c>
      <c r="Y212">
        <v>130.30000000000001</v>
      </c>
      <c r="Z212">
        <v>143.1</v>
      </c>
      <c r="AA212">
        <v>150.19999999999999</v>
      </c>
      <c r="AB212">
        <v>133.1</v>
      </c>
      <c r="AC212">
        <v>140.1</v>
      </c>
      <c r="AD212">
        <v>142.4</v>
      </c>
    </row>
    <row r="213" spans="1:30" x14ac:dyDescent="0.3">
      <c r="A213" t="s">
        <v>44</v>
      </c>
      <c r="B213">
        <v>2018</v>
      </c>
      <c r="C213" t="s">
        <v>65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45</v>
      </c>
      <c r="B214">
        <v>2018</v>
      </c>
      <c r="C214" t="s">
        <v>65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41</v>
      </c>
      <c r="B215">
        <v>2018</v>
      </c>
      <c r="C215" t="s">
        <v>66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67</v>
      </c>
      <c r="V215">
        <v>149</v>
      </c>
      <c r="W215">
        <v>149.5</v>
      </c>
      <c r="X215">
        <v>149.6</v>
      </c>
      <c r="Y215">
        <v>128.9</v>
      </c>
      <c r="Z215">
        <v>143.30000000000001</v>
      </c>
      <c r="AA215">
        <v>155.1</v>
      </c>
      <c r="AB215">
        <v>133.19999999999999</v>
      </c>
      <c r="AC215">
        <v>141.6</v>
      </c>
      <c r="AD215">
        <v>141.9</v>
      </c>
    </row>
    <row r="216" spans="1:30" x14ac:dyDescent="0.3">
      <c r="A216" t="s">
        <v>44</v>
      </c>
      <c r="B216">
        <v>2018</v>
      </c>
      <c r="C216" t="s">
        <v>66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45</v>
      </c>
      <c r="B217">
        <v>2018</v>
      </c>
      <c r="C217" t="s">
        <v>66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41</v>
      </c>
      <c r="B218">
        <v>2019</v>
      </c>
      <c r="C218" t="s">
        <v>56</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67</v>
      </c>
      <c r="V218">
        <v>146.19999999999999</v>
      </c>
      <c r="W218">
        <v>150.1</v>
      </c>
      <c r="X218">
        <v>149.6</v>
      </c>
      <c r="Y218">
        <v>128.6</v>
      </c>
      <c r="Z218">
        <v>142.9</v>
      </c>
      <c r="AA218">
        <v>155.19999999999999</v>
      </c>
      <c r="AB218">
        <v>133.5</v>
      </c>
      <c r="AC218">
        <v>141.69999999999999</v>
      </c>
      <c r="AD218">
        <v>141</v>
      </c>
    </row>
    <row r="219" spans="1:30" x14ac:dyDescent="0.3">
      <c r="A219" t="s">
        <v>44</v>
      </c>
      <c r="B219">
        <v>2019</v>
      </c>
      <c r="C219" t="s">
        <v>56</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45</v>
      </c>
      <c r="B220">
        <v>2019</v>
      </c>
      <c r="C220" t="s">
        <v>56</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41</v>
      </c>
      <c r="B221">
        <v>2019</v>
      </c>
      <c r="C221" t="s">
        <v>57</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67</v>
      </c>
      <c r="V221">
        <v>145.30000000000001</v>
      </c>
      <c r="W221">
        <v>150.1</v>
      </c>
      <c r="X221">
        <v>149.9</v>
      </c>
      <c r="Y221">
        <v>129.19999999999999</v>
      </c>
      <c r="Z221">
        <v>143.4</v>
      </c>
      <c r="AA221">
        <v>155.5</v>
      </c>
      <c r="AB221">
        <v>134.9</v>
      </c>
      <c r="AC221">
        <v>142.19999999999999</v>
      </c>
      <c r="AD221">
        <v>141</v>
      </c>
    </row>
    <row r="222" spans="1:30" x14ac:dyDescent="0.3">
      <c r="A222" t="s">
        <v>44</v>
      </c>
      <c r="B222">
        <v>2019</v>
      </c>
      <c r="C222" t="s">
        <v>57</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45</v>
      </c>
      <c r="B223">
        <v>2019</v>
      </c>
      <c r="C223" t="s">
        <v>57</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41</v>
      </c>
      <c r="B224">
        <v>2019</v>
      </c>
      <c r="C224" t="s">
        <v>58</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67</v>
      </c>
      <c r="V224">
        <v>146.4</v>
      </c>
      <c r="W224">
        <v>150</v>
      </c>
      <c r="X224">
        <v>150.4</v>
      </c>
      <c r="Y224">
        <v>129.9</v>
      </c>
      <c r="Z224">
        <v>143.80000000000001</v>
      </c>
      <c r="AA224">
        <v>155.5</v>
      </c>
      <c r="AB224">
        <v>134</v>
      </c>
      <c r="AC224">
        <v>142.4</v>
      </c>
      <c r="AD224">
        <v>141.19999999999999</v>
      </c>
    </row>
    <row r="225" spans="1:30" x14ac:dyDescent="0.3">
      <c r="A225" t="s">
        <v>44</v>
      </c>
      <c r="B225">
        <v>2019</v>
      </c>
      <c r="C225" t="s">
        <v>58</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45</v>
      </c>
      <c r="B226">
        <v>2019</v>
      </c>
      <c r="C226" t="s">
        <v>58</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41</v>
      </c>
      <c r="B227">
        <v>2019</v>
      </c>
      <c r="C227" t="s">
        <v>42</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67</v>
      </c>
      <c r="V227">
        <v>146.9</v>
      </c>
      <c r="W227">
        <v>149.5</v>
      </c>
      <c r="X227">
        <v>151.30000000000001</v>
      </c>
      <c r="Y227">
        <v>130.19999999999999</v>
      </c>
      <c r="Z227">
        <v>145.9</v>
      </c>
      <c r="AA227">
        <v>156.69999999999999</v>
      </c>
      <c r="AB227">
        <v>133.9</v>
      </c>
      <c r="AC227">
        <v>142.9</v>
      </c>
      <c r="AD227">
        <v>142.4</v>
      </c>
    </row>
    <row r="228" spans="1:30" x14ac:dyDescent="0.3">
      <c r="A228" t="s">
        <v>44</v>
      </c>
      <c r="B228">
        <v>2019</v>
      </c>
      <c r="C228" t="s">
        <v>42</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45</v>
      </c>
      <c r="B229">
        <v>2019</v>
      </c>
      <c r="C229" t="s">
        <v>42</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41</v>
      </c>
      <c r="B230">
        <v>2019</v>
      </c>
      <c r="C230" t="s">
        <v>60</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67</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44</v>
      </c>
      <c r="B231">
        <v>2019</v>
      </c>
      <c r="C231" t="s">
        <v>60</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45</v>
      </c>
      <c r="B232">
        <v>2019</v>
      </c>
      <c r="C232" t="s">
        <v>60</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41</v>
      </c>
      <c r="B233">
        <v>2019</v>
      </c>
      <c r="C233" t="s">
        <v>61</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67</v>
      </c>
      <c r="V233">
        <v>146.80000000000001</v>
      </c>
      <c r="W233">
        <v>150</v>
      </c>
      <c r="X233">
        <v>152.19999999999999</v>
      </c>
      <c r="Y233">
        <v>131.19999999999999</v>
      </c>
      <c r="Z233">
        <v>147.5</v>
      </c>
      <c r="AA233">
        <v>159.1</v>
      </c>
      <c r="AB233">
        <v>136.1</v>
      </c>
      <c r="AC233">
        <v>144.19999999999999</v>
      </c>
      <c r="AD233">
        <v>144.9</v>
      </c>
    </row>
    <row r="234" spans="1:30" x14ac:dyDescent="0.3">
      <c r="A234" t="s">
        <v>44</v>
      </c>
      <c r="B234">
        <v>2019</v>
      </c>
      <c r="C234" t="s">
        <v>61</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45</v>
      </c>
      <c r="B235">
        <v>2019</v>
      </c>
      <c r="C235" t="s">
        <v>61</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41</v>
      </c>
      <c r="B236">
        <v>2019</v>
      </c>
      <c r="C236" t="s">
        <v>62</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67</v>
      </c>
      <c r="V236">
        <v>146.4</v>
      </c>
      <c r="W236">
        <v>150.19999999999999</v>
      </c>
      <c r="X236">
        <v>152.69999999999999</v>
      </c>
      <c r="Y236">
        <v>131.4</v>
      </c>
      <c r="Z236">
        <v>148</v>
      </c>
      <c r="AA236">
        <v>159.69999999999999</v>
      </c>
      <c r="AB236">
        <v>138.80000000000001</v>
      </c>
      <c r="AC236">
        <v>144.9</v>
      </c>
      <c r="AD236">
        <v>145.69999999999999</v>
      </c>
    </row>
    <row r="237" spans="1:30" x14ac:dyDescent="0.3">
      <c r="A237" t="s">
        <v>44</v>
      </c>
      <c r="B237">
        <v>2019</v>
      </c>
      <c r="C237" t="s">
        <v>62</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45</v>
      </c>
      <c r="B238">
        <v>2019</v>
      </c>
      <c r="C238" t="s">
        <v>62</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41</v>
      </c>
      <c r="B239">
        <v>2019</v>
      </c>
      <c r="C239" t="s">
        <v>63</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67</v>
      </c>
      <c r="V239">
        <v>146.9</v>
      </c>
      <c r="W239">
        <v>150.30000000000001</v>
      </c>
      <c r="X239">
        <v>153.4</v>
      </c>
      <c r="Y239">
        <v>131.6</v>
      </c>
      <c r="Z239">
        <v>148.30000000000001</v>
      </c>
      <c r="AA239">
        <v>160.19999999999999</v>
      </c>
      <c r="AB239">
        <v>140.19999999999999</v>
      </c>
      <c r="AC239">
        <v>145.4</v>
      </c>
      <c r="AD239">
        <v>146.69999999999999</v>
      </c>
    </row>
    <row r="240" spans="1:30" x14ac:dyDescent="0.3">
      <c r="A240" t="s">
        <v>44</v>
      </c>
      <c r="B240">
        <v>2019</v>
      </c>
      <c r="C240" t="s">
        <v>63</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45</v>
      </c>
      <c r="B241">
        <v>2019</v>
      </c>
      <c r="C241" t="s">
        <v>63</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41</v>
      </c>
      <c r="B242">
        <v>2019</v>
      </c>
      <c r="C242" t="s">
        <v>64</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67</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44</v>
      </c>
      <c r="B243">
        <v>2019</v>
      </c>
      <c r="C243" t="s">
        <v>64</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45</v>
      </c>
      <c r="B244">
        <v>2019</v>
      </c>
      <c r="C244" t="s">
        <v>64</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41</v>
      </c>
      <c r="B245">
        <v>2019</v>
      </c>
      <c r="C245" t="s">
        <v>65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67</v>
      </c>
      <c r="V245">
        <v>148.4</v>
      </c>
      <c r="W245">
        <v>150.9</v>
      </c>
      <c r="X245">
        <v>154.30000000000001</v>
      </c>
      <c r="Y245">
        <v>132.1</v>
      </c>
      <c r="Z245">
        <v>149.1</v>
      </c>
      <c r="AA245">
        <v>160.80000000000001</v>
      </c>
      <c r="AB245">
        <v>140.6</v>
      </c>
      <c r="AC245">
        <v>146.1</v>
      </c>
      <c r="AD245">
        <v>149.9</v>
      </c>
    </row>
    <row r="246" spans="1:30" x14ac:dyDescent="0.3">
      <c r="A246" t="s">
        <v>44</v>
      </c>
      <c r="B246">
        <v>2019</v>
      </c>
      <c r="C246" t="s">
        <v>65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45</v>
      </c>
      <c r="B247">
        <v>2019</v>
      </c>
      <c r="C247" t="s">
        <v>65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41</v>
      </c>
      <c r="B248">
        <v>2019</v>
      </c>
      <c r="C248" t="s">
        <v>66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67</v>
      </c>
      <c r="V248">
        <v>149.9</v>
      </c>
      <c r="W248">
        <v>151.19999999999999</v>
      </c>
      <c r="X248">
        <v>154.80000000000001</v>
      </c>
      <c r="Y248">
        <v>135</v>
      </c>
      <c r="Z248">
        <v>149.5</v>
      </c>
      <c r="AA248">
        <v>161.1</v>
      </c>
      <c r="AB248">
        <v>140.6</v>
      </c>
      <c r="AC248">
        <v>147.1</v>
      </c>
      <c r="AD248">
        <v>152.30000000000001</v>
      </c>
    </row>
    <row r="249" spans="1:30" x14ac:dyDescent="0.3">
      <c r="A249" t="s">
        <v>44</v>
      </c>
      <c r="B249">
        <v>2019</v>
      </c>
      <c r="C249" t="s">
        <v>66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45</v>
      </c>
      <c r="B250">
        <v>2019</v>
      </c>
      <c r="C250" t="s">
        <v>66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41</v>
      </c>
      <c r="B251">
        <v>2020</v>
      </c>
      <c r="C251" t="s">
        <v>56</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67</v>
      </c>
      <c r="V251">
        <v>150.4</v>
      </c>
      <c r="W251">
        <v>151.69999999999999</v>
      </c>
      <c r="X251">
        <v>155.69999999999999</v>
      </c>
      <c r="Y251">
        <v>136.30000000000001</v>
      </c>
      <c r="Z251">
        <v>150.1</v>
      </c>
      <c r="AA251">
        <v>161.69999999999999</v>
      </c>
      <c r="AB251">
        <v>142.5</v>
      </c>
      <c r="AC251">
        <v>148.1</v>
      </c>
      <c r="AD251">
        <v>151.9</v>
      </c>
    </row>
    <row r="252" spans="1:30" x14ac:dyDescent="0.3">
      <c r="A252" t="s">
        <v>44</v>
      </c>
      <c r="B252">
        <v>2020</v>
      </c>
      <c r="C252" t="s">
        <v>56</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45</v>
      </c>
      <c r="B253">
        <v>2020</v>
      </c>
      <c r="C253" t="s">
        <v>56</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41</v>
      </c>
      <c r="B254">
        <v>2020</v>
      </c>
      <c r="C254" t="s">
        <v>57</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67</v>
      </c>
      <c r="V254">
        <v>152.30000000000001</v>
      </c>
      <c r="W254">
        <v>151.80000000000001</v>
      </c>
      <c r="X254">
        <v>156.19999999999999</v>
      </c>
      <c r="Y254">
        <v>136</v>
      </c>
      <c r="Z254">
        <v>150.4</v>
      </c>
      <c r="AA254">
        <v>161.9</v>
      </c>
      <c r="AB254">
        <v>143.4</v>
      </c>
      <c r="AC254">
        <v>148.4</v>
      </c>
      <c r="AD254">
        <v>150.4</v>
      </c>
    </row>
    <row r="255" spans="1:30" x14ac:dyDescent="0.3">
      <c r="A255" t="s">
        <v>44</v>
      </c>
      <c r="B255">
        <v>2020</v>
      </c>
      <c r="C255" t="s">
        <v>57</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45</v>
      </c>
      <c r="B256">
        <v>2020</v>
      </c>
      <c r="C256" t="s">
        <v>57</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41</v>
      </c>
      <c r="B257">
        <v>2020</v>
      </c>
      <c r="C257" t="s">
        <v>58</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67</v>
      </c>
      <c r="V257">
        <v>153.4</v>
      </c>
      <c r="W257">
        <v>151.5</v>
      </c>
      <c r="X257">
        <v>156.69999999999999</v>
      </c>
      <c r="Y257">
        <v>135.80000000000001</v>
      </c>
      <c r="Z257">
        <v>151.19999999999999</v>
      </c>
      <c r="AA257">
        <v>161.19999999999999</v>
      </c>
      <c r="AB257">
        <v>145.1</v>
      </c>
      <c r="AC257">
        <v>148.6</v>
      </c>
      <c r="AD257">
        <v>149.80000000000001</v>
      </c>
    </row>
    <row r="258" spans="1:30" x14ac:dyDescent="0.3">
      <c r="A258" t="s">
        <v>44</v>
      </c>
      <c r="B258">
        <v>2020</v>
      </c>
      <c r="C258" t="s">
        <v>58</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45</v>
      </c>
      <c r="B259">
        <v>2020</v>
      </c>
      <c r="C259" t="s">
        <v>58</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41</v>
      </c>
      <c r="B260">
        <v>2020</v>
      </c>
      <c r="C260" t="s">
        <v>59</v>
      </c>
      <c r="D260">
        <v>147.19999999999999</v>
      </c>
      <c r="E260" t="s">
        <v>67</v>
      </c>
      <c r="F260">
        <v>146.9</v>
      </c>
      <c r="G260">
        <v>155.6</v>
      </c>
      <c r="H260">
        <v>137.1</v>
      </c>
      <c r="I260">
        <v>147.30000000000001</v>
      </c>
      <c r="J260">
        <v>162.69999999999999</v>
      </c>
      <c r="K260">
        <v>150.19999999999999</v>
      </c>
      <c r="L260">
        <v>119.8</v>
      </c>
      <c r="M260">
        <v>158.69999999999999</v>
      </c>
      <c r="N260">
        <v>139.19999999999999</v>
      </c>
      <c r="O260" t="s">
        <v>67</v>
      </c>
      <c r="P260">
        <v>150.1</v>
      </c>
      <c r="Q260" t="s">
        <v>67</v>
      </c>
      <c r="R260" t="s">
        <v>67</v>
      </c>
      <c r="S260" t="s">
        <v>67</v>
      </c>
      <c r="T260" t="s">
        <v>67</v>
      </c>
      <c r="U260" t="s">
        <v>67</v>
      </c>
      <c r="V260">
        <v>148.4</v>
      </c>
      <c r="W260" t="s">
        <v>67</v>
      </c>
      <c r="X260">
        <v>154.30000000000001</v>
      </c>
      <c r="Y260" t="s">
        <v>67</v>
      </c>
      <c r="Z260" t="s">
        <v>67</v>
      </c>
      <c r="AA260" t="s">
        <v>67</v>
      </c>
      <c r="AB260" t="s">
        <v>67</v>
      </c>
      <c r="AC260" t="s">
        <v>67</v>
      </c>
      <c r="AD260" t="s">
        <v>67</v>
      </c>
    </row>
    <row r="261" spans="1:30" x14ac:dyDescent="0.3">
      <c r="A261" t="s">
        <v>44</v>
      </c>
      <c r="B261">
        <v>2020</v>
      </c>
      <c r="C261" t="s">
        <v>59</v>
      </c>
      <c r="D261">
        <v>151.80000000000001</v>
      </c>
      <c r="E261" t="s">
        <v>67</v>
      </c>
      <c r="F261">
        <v>151.9</v>
      </c>
      <c r="G261">
        <v>155.5</v>
      </c>
      <c r="H261">
        <v>131.6</v>
      </c>
      <c r="I261">
        <v>152.9</v>
      </c>
      <c r="J261">
        <v>180</v>
      </c>
      <c r="K261">
        <v>150.80000000000001</v>
      </c>
      <c r="L261">
        <v>121.2</v>
      </c>
      <c r="M261">
        <v>154</v>
      </c>
      <c r="N261">
        <v>133.5</v>
      </c>
      <c r="O261" t="s">
        <v>67</v>
      </c>
      <c r="P261">
        <v>153.5</v>
      </c>
      <c r="Q261" t="s">
        <v>67</v>
      </c>
      <c r="R261" t="s">
        <v>67</v>
      </c>
      <c r="S261" t="s">
        <v>67</v>
      </c>
      <c r="T261" t="s">
        <v>67</v>
      </c>
      <c r="U261">
        <v>155.6</v>
      </c>
      <c r="V261">
        <v>137.1</v>
      </c>
      <c r="W261" t="s">
        <v>67</v>
      </c>
      <c r="X261">
        <v>144.80000000000001</v>
      </c>
      <c r="Y261" t="s">
        <v>67</v>
      </c>
      <c r="Z261" t="s">
        <v>67</v>
      </c>
      <c r="AA261" t="s">
        <v>67</v>
      </c>
      <c r="AB261" t="s">
        <v>67</v>
      </c>
      <c r="AC261" t="s">
        <v>67</v>
      </c>
      <c r="AD261" t="s">
        <v>67</v>
      </c>
    </row>
    <row r="262" spans="1:30" x14ac:dyDescent="0.3">
      <c r="A262" t="s">
        <v>45</v>
      </c>
      <c r="B262">
        <v>2020</v>
      </c>
      <c r="C262" t="s">
        <v>59</v>
      </c>
      <c r="D262">
        <v>148.69999999999999</v>
      </c>
      <c r="E262" t="s">
        <v>67</v>
      </c>
      <c r="F262">
        <v>148.80000000000001</v>
      </c>
      <c r="G262">
        <v>155.6</v>
      </c>
      <c r="H262">
        <v>135.1</v>
      </c>
      <c r="I262">
        <v>149.9</v>
      </c>
      <c r="J262">
        <v>168.6</v>
      </c>
      <c r="K262">
        <v>150.4</v>
      </c>
      <c r="L262">
        <v>120.3</v>
      </c>
      <c r="M262">
        <v>157.1</v>
      </c>
      <c r="N262">
        <v>136.80000000000001</v>
      </c>
      <c r="O262" t="s">
        <v>67</v>
      </c>
      <c r="P262">
        <v>151.4</v>
      </c>
      <c r="Q262" t="s">
        <v>67</v>
      </c>
      <c r="R262" t="s">
        <v>67</v>
      </c>
      <c r="S262" t="s">
        <v>67</v>
      </c>
      <c r="T262" t="s">
        <v>67</v>
      </c>
      <c r="U262">
        <v>155.6</v>
      </c>
      <c r="V262">
        <v>144.1</v>
      </c>
      <c r="W262" t="s">
        <v>67</v>
      </c>
      <c r="X262">
        <v>150.69999999999999</v>
      </c>
      <c r="Y262" t="s">
        <v>67</v>
      </c>
      <c r="Z262" t="s">
        <v>67</v>
      </c>
      <c r="AA262" t="s">
        <v>67</v>
      </c>
      <c r="AB262" t="s">
        <v>67</v>
      </c>
      <c r="AC262" t="s">
        <v>67</v>
      </c>
      <c r="AD262" t="s">
        <v>67</v>
      </c>
    </row>
    <row r="263" spans="1:30" x14ac:dyDescent="0.3">
      <c r="A263" t="s">
        <v>41</v>
      </c>
      <c r="B263">
        <v>2020</v>
      </c>
      <c r="C263" t="s">
        <v>42</v>
      </c>
      <c r="D263" t="s">
        <v>67</v>
      </c>
      <c r="E263" t="s">
        <v>67</v>
      </c>
      <c r="F263" t="s">
        <v>67</v>
      </c>
      <c r="G263" t="s">
        <v>67</v>
      </c>
      <c r="H263" t="s">
        <v>67</v>
      </c>
      <c r="I263" t="s">
        <v>67</v>
      </c>
      <c r="J263" t="s">
        <v>67</v>
      </c>
      <c r="K263" t="s">
        <v>67</v>
      </c>
      <c r="L263" t="s">
        <v>67</v>
      </c>
      <c r="M263" t="s">
        <v>67</v>
      </c>
      <c r="N263" t="s">
        <v>67</v>
      </c>
      <c r="O263" t="s">
        <v>67</v>
      </c>
      <c r="P263" t="s">
        <v>67</v>
      </c>
      <c r="Q263" t="s">
        <v>67</v>
      </c>
      <c r="R263" t="s">
        <v>67</v>
      </c>
      <c r="S263" t="s">
        <v>67</v>
      </c>
      <c r="T263" t="s">
        <v>67</v>
      </c>
      <c r="U263" t="s">
        <v>67</v>
      </c>
      <c r="V263" t="s">
        <v>67</v>
      </c>
      <c r="W263" t="s">
        <v>67</v>
      </c>
      <c r="X263" t="s">
        <v>67</v>
      </c>
      <c r="Y263" t="s">
        <v>67</v>
      </c>
      <c r="Z263" t="s">
        <v>67</v>
      </c>
      <c r="AA263" t="s">
        <v>67</v>
      </c>
      <c r="AB263" t="s">
        <v>67</v>
      </c>
      <c r="AC263" t="s">
        <v>67</v>
      </c>
      <c r="AD263" t="s">
        <v>67</v>
      </c>
    </row>
    <row r="264" spans="1:30" x14ac:dyDescent="0.3">
      <c r="A264" t="s">
        <v>44</v>
      </c>
      <c r="B264">
        <v>2020</v>
      </c>
      <c r="C264" t="s">
        <v>42</v>
      </c>
      <c r="D264" t="s">
        <v>67</v>
      </c>
      <c r="E264" t="s">
        <v>67</v>
      </c>
      <c r="F264" t="s">
        <v>67</v>
      </c>
      <c r="G264" t="s">
        <v>67</v>
      </c>
      <c r="H264" t="s">
        <v>67</v>
      </c>
      <c r="I264" t="s">
        <v>67</v>
      </c>
      <c r="J264" t="s">
        <v>67</v>
      </c>
      <c r="K264" t="s">
        <v>67</v>
      </c>
      <c r="L264" t="s">
        <v>67</v>
      </c>
      <c r="M264" t="s">
        <v>67</v>
      </c>
      <c r="N264" t="s">
        <v>67</v>
      </c>
      <c r="O264" t="s">
        <v>67</v>
      </c>
      <c r="P264" t="s">
        <v>67</v>
      </c>
      <c r="Q264" t="s">
        <v>67</v>
      </c>
      <c r="R264" t="s">
        <v>67</v>
      </c>
      <c r="S264" t="s">
        <v>67</v>
      </c>
      <c r="T264" t="s">
        <v>67</v>
      </c>
      <c r="U264" t="s">
        <v>67</v>
      </c>
      <c r="V264" t="s">
        <v>67</v>
      </c>
      <c r="W264" t="s">
        <v>67</v>
      </c>
      <c r="X264" t="s">
        <v>67</v>
      </c>
      <c r="Y264" t="s">
        <v>67</v>
      </c>
      <c r="Z264" t="s">
        <v>67</v>
      </c>
      <c r="AA264" t="s">
        <v>67</v>
      </c>
      <c r="AB264" t="s">
        <v>67</v>
      </c>
      <c r="AC264" t="s">
        <v>67</v>
      </c>
      <c r="AD264" t="s">
        <v>67</v>
      </c>
    </row>
    <row r="265" spans="1:30" x14ac:dyDescent="0.3">
      <c r="A265" t="s">
        <v>45</v>
      </c>
      <c r="B265">
        <v>2020</v>
      </c>
      <c r="C265" t="s">
        <v>42</v>
      </c>
      <c r="D265" t="s">
        <v>67</v>
      </c>
      <c r="E265" t="s">
        <v>67</v>
      </c>
      <c r="F265" t="s">
        <v>67</v>
      </c>
      <c r="G265" t="s">
        <v>67</v>
      </c>
      <c r="H265" t="s">
        <v>67</v>
      </c>
      <c r="I265" t="s">
        <v>67</v>
      </c>
      <c r="J265" t="s">
        <v>67</v>
      </c>
      <c r="K265" t="s">
        <v>67</v>
      </c>
      <c r="L265" t="s">
        <v>67</v>
      </c>
      <c r="M265" t="s">
        <v>67</v>
      </c>
      <c r="N265" t="s">
        <v>67</v>
      </c>
      <c r="O265" t="s">
        <v>67</v>
      </c>
      <c r="P265" t="s">
        <v>67</v>
      </c>
      <c r="Q265" t="s">
        <v>67</v>
      </c>
      <c r="R265" t="s">
        <v>67</v>
      </c>
      <c r="S265" t="s">
        <v>67</v>
      </c>
      <c r="T265" t="s">
        <v>67</v>
      </c>
      <c r="U265" t="s">
        <v>67</v>
      </c>
      <c r="V265" t="s">
        <v>67</v>
      </c>
      <c r="W265" t="s">
        <v>67</v>
      </c>
      <c r="X265" t="s">
        <v>67</v>
      </c>
      <c r="Y265" t="s">
        <v>67</v>
      </c>
      <c r="Z265" t="s">
        <v>67</v>
      </c>
      <c r="AA265" t="s">
        <v>67</v>
      </c>
      <c r="AB265" t="s">
        <v>67</v>
      </c>
      <c r="AC265" t="s">
        <v>67</v>
      </c>
      <c r="AD265" t="s">
        <v>67</v>
      </c>
    </row>
    <row r="266" spans="1:30" x14ac:dyDescent="0.3">
      <c r="A266" t="s">
        <v>41</v>
      </c>
      <c r="B266">
        <v>2020</v>
      </c>
      <c r="C266" t="s">
        <v>60</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67</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44</v>
      </c>
      <c r="B267">
        <v>2020</v>
      </c>
      <c r="C267" t="s">
        <v>60</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45</v>
      </c>
      <c r="B268">
        <v>2020</v>
      </c>
      <c r="C268" t="s">
        <v>60</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41</v>
      </c>
      <c r="B269">
        <v>2020</v>
      </c>
      <c r="C269" t="s">
        <v>61</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67</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44</v>
      </c>
      <c r="B270">
        <v>2020</v>
      </c>
      <c r="C270" t="s">
        <v>61</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45</v>
      </c>
      <c r="B271">
        <v>2020</v>
      </c>
      <c r="C271" t="s">
        <v>61</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41</v>
      </c>
      <c r="B272">
        <v>2020</v>
      </c>
      <c r="C272" t="s">
        <v>62</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67</v>
      </c>
      <c r="V272">
        <v>145.80000000000001</v>
      </c>
      <c r="W272">
        <v>151.9</v>
      </c>
      <c r="X272">
        <v>158.80000000000001</v>
      </c>
      <c r="Y272">
        <v>143.6</v>
      </c>
      <c r="Z272">
        <v>152.19999999999999</v>
      </c>
      <c r="AA272">
        <v>162.69999999999999</v>
      </c>
      <c r="AB272">
        <v>153.6</v>
      </c>
      <c r="AC272">
        <v>153</v>
      </c>
      <c r="AD272">
        <v>154.69999999999999</v>
      </c>
    </row>
    <row r="273" spans="1:30" x14ac:dyDescent="0.3">
      <c r="A273" t="s">
        <v>44</v>
      </c>
      <c r="B273">
        <v>2020</v>
      </c>
      <c r="C273" t="s">
        <v>62</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45</v>
      </c>
      <c r="B274">
        <v>2020</v>
      </c>
      <c r="C274" t="s">
        <v>62</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41</v>
      </c>
      <c r="B275">
        <v>2020</v>
      </c>
      <c r="C275" t="s">
        <v>63</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67</v>
      </c>
      <c r="V275">
        <v>146.4</v>
      </c>
      <c r="W275">
        <v>151.6</v>
      </c>
      <c r="X275">
        <v>159.1</v>
      </c>
      <c r="Y275">
        <v>144.6</v>
      </c>
      <c r="Z275">
        <v>152.80000000000001</v>
      </c>
      <c r="AA275">
        <v>161.1</v>
      </c>
      <c r="AB275">
        <v>157.4</v>
      </c>
      <c r="AC275">
        <v>153.69999999999999</v>
      </c>
      <c r="AD275">
        <v>155.4</v>
      </c>
    </row>
    <row r="276" spans="1:30" x14ac:dyDescent="0.3">
      <c r="A276" t="s">
        <v>44</v>
      </c>
      <c r="B276">
        <v>2020</v>
      </c>
      <c r="C276" t="s">
        <v>63</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45</v>
      </c>
      <c r="B277">
        <v>2020</v>
      </c>
      <c r="C277" t="s">
        <v>63</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41</v>
      </c>
      <c r="B278">
        <v>2020</v>
      </c>
      <c r="C278" t="s">
        <v>64</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67</v>
      </c>
      <c r="V278">
        <v>146.80000000000001</v>
      </c>
      <c r="W278">
        <v>152</v>
      </c>
      <c r="X278">
        <v>159.5</v>
      </c>
      <c r="Y278">
        <v>146.4</v>
      </c>
      <c r="Z278">
        <v>152.4</v>
      </c>
      <c r="AA278">
        <v>162.5</v>
      </c>
      <c r="AB278">
        <v>156.19999999999999</v>
      </c>
      <c r="AC278">
        <v>154.30000000000001</v>
      </c>
      <c r="AD278">
        <v>157.5</v>
      </c>
    </row>
    <row r="279" spans="1:30" x14ac:dyDescent="0.3">
      <c r="A279" t="s">
        <v>44</v>
      </c>
      <c r="B279">
        <v>2020</v>
      </c>
      <c r="C279" t="s">
        <v>64</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45</v>
      </c>
      <c r="B280">
        <v>2020</v>
      </c>
      <c r="C280" t="s">
        <v>64</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41</v>
      </c>
      <c r="B281">
        <v>2020</v>
      </c>
      <c r="C281" t="s">
        <v>65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67</v>
      </c>
      <c r="V281">
        <v>147.5</v>
      </c>
      <c r="W281">
        <v>152.80000000000001</v>
      </c>
      <c r="X281">
        <v>160.4</v>
      </c>
      <c r="Y281">
        <v>146.1</v>
      </c>
      <c r="Z281">
        <v>153.6</v>
      </c>
      <c r="AA281">
        <v>161.6</v>
      </c>
      <c r="AB281">
        <v>156.19999999999999</v>
      </c>
      <c r="AC281">
        <v>154.5</v>
      </c>
      <c r="AD281">
        <v>159.80000000000001</v>
      </c>
    </row>
    <row r="282" spans="1:30" x14ac:dyDescent="0.3">
      <c r="A282" t="s">
        <v>44</v>
      </c>
      <c r="B282">
        <v>2020</v>
      </c>
      <c r="C282" t="s">
        <v>65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45</v>
      </c>
      <c r="B283">
        <v>2020</v>
      </c>
      <c r="C283" t="s">
        <v>65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41</v>
      </c>
      <c r="B284">
        <v>2020</v>
      </c>
      <c r="C284" t="s">
        <v>66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67</v>
      </c>
      <c r="V284">
        <v>148.69999999999999</v>
      </c>
      <c r="W284">
        <v>153.4</v>
      </c>
      <c r="X284">
        <v>161.6</v>
      </c>
      <c r="Y284">
        <v>146.4</v>
      </c>
      <c r="Z284">
        <v>153.9</v>
      </c>
      <c r="AA284">
        <v>162.9</v>
      </c>
      <c r="AB284">
        <v>156.6</v>
      </c>
      <c r="AC284">
        <v>155.19999999999999</v>
      </c>
      <c r="AD284">
        <v>160.69999999999999</v>
      </c>
    </row>
    <row r="285" spans="1:30" x14ac:dyDescent="0.3">
      <c r="A285" t="s">
        <v>44</v>
      </c>
      <c r="B285">
        <v>2020</v>
      </c>
      <c r="C285" t="s">
        <v>66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45</v>
      </c>
      <c r="B286">
        <v>2020</v>
      </c>
      <c r="C286" t="s">
        <v>66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41</v>
      </c>
      <c r="B287">
        <v>2021</v>
      </c>
      <c r="C287" t="s">
        <v>56</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67</v>
      </c>
      <c r="V287">
        <v>150.9</v>
      </c>
      <c r="W287">
        <v>153.9</v>
      </c>
      <c r="X287">
        <v>162.5</v>
      </c>
      <c r="Y287">
        <v>147.5</v>
      </c>
      <c r="Z287">
        <v>155.1</v>
      </c>
      <c r="AA287">
        <v>163.5</v>
      </c>
      <c r="AB287">
        <v>156.19999999999999</v>
      </c>
      <c r="AC287">
        <v>155.9</v>
      </c>
      <c r="AD287">
        <v>158.5</v>
      </c>
    </row>
    <row r="288" spans="1:30" x14ac:dyDescent="0.3">
      <c r="A288" t="s">
        <v>44</v>
      </c>
      <c r="B288">
        <v>2021</v>
      </c>
      <c r="C288" t="s">
        <v>56</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45</v>
      </c>
      <c r="B289">
        <v>2021</v>
      </c>
      <c r="C289" t="s">
        <v>56</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41</v>
      </c>
      <c r="B290">
        <v>2021</v>
      </c>
      <c r="C290" t="s">
        <v>57</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67</v>
      </c>
      <c r="V290">
        <v>154.4</v>
      </c>
      <c r="W290">
        <v>154.80000000000001</v>
      </c>
      <c r="X290">
        <v>164.3</v>
      </c>
      <c r="Y290">
        <v>150.19999999999999</v>
      </c>
      <c r="Z290">
        <v>157</v>
      </c>
      <c r="AA290">
        <v>163.6</v>
      </c>
      <c r="AB290">
        <v>155.19999999999999</v>
      </c>
      <c r="AC290">
        <v>157.19999999999999</v>
      </c>
      <c r="AD290">
        <v>156.69999999999999</v>
      </c>
    </row>
    <row r="291" spans="1:30" x14ac:dyDescent="0.3">
      <c r="A291" t="s">
        <v>44</v>
      </c>
      <c r="B291">
        <v>2021</v>
      </c>
      <c r="C291" t="s">
        <v>57</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45</v>
      </c>
      <c r="B292">
        <v>2021</v>
      </c>
      <c r="C292" t="s">
        <v>57</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41</v>
      </c>
      <c r="B293">
        <v>2021</v>
      </c>
      <c r="C293" t="s">
        <v>58</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43</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44</v>
      </c>
      <c r="B294">
        <v>2021</v>
      </c>
      <c r="C294" t="s">
        <v>58</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45</v>
      </c>
      <c r="B295">
        <v>2021</v>
      </c>
      <c r="C295" t="s">
        <v>58</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41</v>
      </c>
      <c r="B296">
        <v>2021</v>
      </c>
      <c r="C296" t="s">
        <v>59</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43</v>
      </c>
      <c r="V296">
        <v>156</v>
      </c>
      <c r="W296">
        <v>155.5</v>
      </c>
      <c r="X296">
        <v>165.3</v>
      </c>
      <c r="Y296">
        <v>151.69999999999999</v>
      </c>
      <c r="Z296">
        <v>158.6</v>
      </c>
      <c r="AA296">
        <v>164.1</v>
      </c>
      <c r="AB296">
        <v>154.6</v>
      </c>
      <c r="AC296">
        <v>158</v>
      </c>
      <c r="AD296">
        <v>157.6</v>
      </c>
    </row>
    <row r="297" spans="1:30" x14ac:dyDescent="0.3">
      <c r="A297" t="s">
        <v>44</v>
      </c>
      <c r="B297">
        <v>2021</v>
      </c>
      <c r="C297" t="s">
        <v>59</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45</v>
      </c>
      <c r="B298">
        <v>2021</v>
      </c>
      <c r="C298" t="s">
        <v>59</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41</v>
      </c>
      <c r="B299">
        <v>2021</v>
      </c>
      <c r="C299" t="s">
        <v>42</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67</v>
      </c>
      <c r="V299">
        <v>161.69999999999999</v>
      </c>
      <c r="W299">
        <v>158.80000000000001</v>
      </c>
      <c r="X299">
        <v>169.1</v>
      </c>
      <c r="Y299">
        <v>153.19999999999999</v>
      </c>
      <c r="Z299">
        <v>160</v>
      </c>
      <c r="AA299">
        <v>167.6</v>
      </c>
      <c r="AB299">
        <v>159.30000000000001</v>
      </c>
      <c r="AC299">
        <v>161.1</v>
      </c>
      <c r="AD299">
        <v>161.1</v>
      </c>
    </row>
    <row r="300" spans="1:30" x14ac:dyDescent="0.3">
      <c r="A300" t="s">
        <v>44</v>
      </c>
      <c r="B300">
        <v>2021</v>
      </c>
      <c r="C300" t="s">
        <v>42</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45</v>
      </c>
      <c r="B301">
        <v>2021</v>
      </c>
      <c r="C301" t="s">
        <v>42</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41</v>
      </c>
      <c r="B302">
        <v>2021</v>
      </c>
      <c r="C302" t="s">
        <v>60</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67</v>
      </c>
      <c r="V302">
        <v>162.1</v>
      </c>
      <c r="W302">
        <v>159.19999999999999</v>
      </c>
      <c r="X302">
        <v>169.7</v>
      </c>
      <c r="Y302">
        <v>154.19999999999999</v>
      </c>
      <c r="Z302">
        <v>160.4</v>
      </c>
      <c r="AA302">
        <v>166.8</v>
      </c>
      <c r="AB302">
        <v>159.4</v>
      </c>
      <c r="AC302">
        <v>161.5</v>
      </c>
      <c r="AD302">
        <v>162.1</v>
      </c>
    </row>
    <row r="303" spans="1:30" x14ac:dyDescent="0.3">
      <c r="A303" t="s">
        <v>44</v>
      </c>
      <c r="B303">
        <v>2021</v>
      </c>
      <c r="C303" t="s">
        <v>60</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45</v>
      </c>
      <c r="B304">
        <v>2021</v>
      </c>
      <c r="C304" t="s">
        <v>60</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41</v>
      </c>
      <c r="B305">
        <v>2021</v>
      </c>
      <c r="C305" t="s">
        <v>61</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67</v>
      </c>
      <c r="V305">
        <v>162.5</v>
      </c>
      <c r="W305">
        <v>160.30000000000001</v>
      </c>
      <c r="X305">
        <v>170.4</v>
      </c>
      <c r="Y305">
        <v>157.1</v>
      </c>
      <c r="Z305">
        <v>160.69999999999999</v>
      </c>
      <c r="AA305">
        <v>167.2</v>
      </c>
      <c r="AB305">
        <v>160.4</v>
      </c>
      <c r="AC305">
        <v>162.80000000000001</v>
      </c>
      <c r="AD305">
        <v>163.19999999999999</v>
      </c>
    </row>
    <row r="306" spans="1:30" x14ac:dyDescent="0.3">
      <c r="A306" t="s">
        <v>44</v>
      </c>
      <c r="B306">
        <v>2021</v>
      </c>
      <c r="C306" t="s">
        <v>61</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45</v>
      </c>
      <c r="B307">
        <v>2021</v>
      </c>
      <c r="C307" t="s">
        <v>61</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41</v>
      </c>
      <c r="B308">
        <v>2021</v>
      </c>
      <c r="C308" t="s">
        <v>62</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67</v>
      </c>
      <c r="V308">
        <v>163.1</v>
      </c>
      <c r="W308">
        <v>160.9</v>
      </c>
      <c r="X308">
        <v>171.1</v>
      </c>
      <c r="Y308">
        <v>157.69999999999999</v>
      </c>
      <c r="Z308">
        <v>161.1</v>
      </c>
      <c r="AA308">
        <v>167.5</v>
      </c>
      <c r="AB308">
        <v>160.30000000000001</v>
      </c>
      <c r="AC308">
        <v>163.30000000000001</v>
      </c>
      <c r="AD308">
        <v>163.6</v>
      </c>
    </row>
    <row r="309" spans="1:30" x14ac:dyDescent="0.3">
      <c r="A309" t="s">
        <v>44</v>
      </c>
      <c r="B309">
        <v>2021</v>
      </c>
      <c r="C309" t="s">
        <v>62</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45</v>
      </c>
      <c r="B310">
        <v>2021</v>
      </c>
      <c r="C310" t="s">
        <v>62</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41</v>
      </c>
      <c r="B311">
        <v>2021</v>
      </c>
      <c r="C311" t="s">
        <v>63</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67</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44</v>
      </c>
      <c r="B312">
        <v>2021</v>
      </c>
      <c r="C312" t="s">
        <v>63</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45</v>
      </c>
      <c r="B313">
        <v>2021</v>
      </c>
      <c r="C313" t="s">
        <v>63</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41</v>
      </c>
      <c r="B314">
        <v>2021</v>
      </c>
      <c r="C314" t="s">
        <v>64</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67</v>
      </c>
      <c r="V314">
        <v>165.5</v>
      </c>
      <c r="W314">
        <v>162</v>
      </c>
      <c r="X314">
        <v>172.5</v>
      </c>
      <c r="Y314">
        <v>159.5</v>
      </c>
      <c r="Z314">
        <v>163.19999999999999</v>
      </c>
      <c r="AA314">
        <v>169</v>
      </c>
      <c r="AB314">
        <v>161.1</v>
      </c>
      <c r="AC314">
        <v>164.7</v>
      </c>
      <c r="AD314">
        <v>166.3</v>
      </c>
    </row>
    <row r="315" spans="1:30" x14ac:dyDescent="0.3">
      <c r="A315" t="s">
        <v>44</v>
      </c>
      <c r="B315">
        <v>2021</v>
      </c>
      <c r="C315" t="s">
        <v>64</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45</v>
      </c>
      <c r="B316">
        <v>2021</v>
      </c>
      <c r="C316" t="s">
        <v>64</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41</v>
      </c>
      <c r="B317">
        <v>2021</v>
      </c>
      <c r="C317" t="s">
        <v>65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67</v>
      </c>
      <c r="V317">
        <v>165.3</v>
      </c>
      <c r="W317">
        <v>162.9</v>
      </c>
      <c r="X317">
        <v>173.4</v>
      </c>
      <c r="Y317">
        <v>158.9</v>
      </c>
      <c r="Z317">
        <v>163.80000000000001</v>
      </c>
      <c r="AA317">
        <v>169.3</v>
      </c>
      <c r="AB317">
        <v>162.4</v>
      </c>
      <c r="AC317">
        <v>165.2</v>
      </c>
      <c r="AD317">
        <v>167.6</v>
      </c>
    </row>
    <row r="318" spans="1:30" x14ac:dyDescent="0.3">
      <c r="A318" t="s">
        <v>44</v>
      </c>
      <c r="B318">
        <v>2021</v>
      </c>
      <c r="C318" t="s">
        <v>65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45</v>
      </c>
      <c r="B319">
        <v>2021</v>
      </c>
      <c r="C319" t="s">
        <v>65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41</v>
      </c>
      <c r="B320">
        <v>2021</v>
      </c>
      <c r="C320" t="s">
        <v>66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67</v>
      </c>
      <c r="V320">
        <v>165.6</v>
      </c>
      <c r="W320">
        <v>163.9</v>
      </c>
      <c r="X320">
        <v>174</v>
      </c>
      <c r="Y320">
        <v>160.1</v>
      </c>
      <c r="Z320">
        <v>164.5</v>
      </c>
      <c r="AA320">
        <v>169.7</v>
      </c>
      <c r="AB320">
        <v>162.80000000000001</v>
      </c>
      <c r="AC320">
        <v>166</v>
      </c>
      <c r="AD320">
        <v>167</v>
      </c>
    </row>
    <row r="321" spans="1:30" x14ac:dyDescent="0.3">
      <c r="A321" t="s">
        <v>44</v>
      </c>
      <c r="B321">
        <v>2021</v>
      </c>
      <c r="C321" t="s">
        <v>66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45</v>
      </c>
      <c r="B322">
        <v>2021</v>
      </c>
      <c r="C322" t="s">
        <v>66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41</v>
      </c>
      <c r="B323">
        <v>2022</v>
      </c>
      <c r="C323" t="s">
        <v>56</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67</v>
      </c>
      <c r="V323">
        <v>165.8</v>
      </c>
      <c r="W323">
        <v>164.9</v>
      </c>
      <c r="X323">
        <v>174.7</v>
      </c>
      <c r="Y323">
        <v>160.80000000000001</v>
      </c>
      <c r="Z323">
        <v>164.9</v>
      </c>
      <c r="AA323">
        <v>169.9</v>
      </c>
      <c r="AB323">
        <v>163.19999999999999</v>
      </c>
      <c r="AC323">
        <v>166.6</v>
      </c>
      <c r="AD323">
        <v>166.4</v>
      </c>
    </row>
    <row r="324" spans="1:30" x14ac:dyDescent="0.3">
      <c r="A324" t="s">
        <v>44</v>
      </c>
      <c r="B324">
        <v>2022</v>
      </c>
      <c r="C324" t="s">
        <v>56</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45</v>
      </c>
      <c r="B325">
        <v>2022</v>
      </c>
      <c r="C325" t="s">
        <v>56</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41</v>
      </c>
      <c r="B326">
        <v>2022</v>
      </c>
      <c r="C326" t="s">
        <v>57</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67</v>
      </c>
      <c r="V326">
        <v>167.4</v>
      </c>
      <c r="W326">
        <v>165.7</v>
      </c>
      <c r="X326">
        <v>175.3</v>
      </c>
      <c r="Y326">
        <v>161.19999999999999</v>
      </c>
      <c r="Z326">
        <v>165.5</v>
      </c>
      <c r="AA326">
        <v>170.3</v>
      </c>
      <c r="AB326">
        <v>164.5</v>
      </c>
      <c r="AC326">
        <v>167.3</v>
      </c>
      <c r="AD326">
        <v>166.7</v>
      </c>
    </row>
    <row r="327" spans="1:30" x14ac:dyDescent="0.3">
      <c r="A327" t="s">
        <v>44</v>
      </c>
      <c r="B327">
        <v>2022</v>
      </c>
      <c r="C327" t="s">
        <v>57</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45</v>
      </c>
      <c r="B328">
        <v>2022</v>
      </c>
      <c r="C328" t="s">
        <v>57</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41</v>
      </c>
      <c r="B329">
        <v>2022</v>
      </c>
      <c r="C329" t="s">
        <v>58</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67</v>
      </c>
      <c r="V329">
        <v>168.9</v>
      </c>
      <c r="W329">
        <v>166.5</v>
      </c>
      <c r="X329">
        <v>176</v>
      </c>
      <c r="Y329">
        <v>162</v>
      </c>
      <c r="Z329">
        <v>166.6</v>
      </c>
      <c r="AA329">
        <v>170.6</v>
      </c>
      <c r="AB329">
        <v>167.4</v>
      </c>
      <c r="AC329">
        <v>168.3</v>
      </c>
      <c r="AD329">
        <v>168.7</v>
      </c>
    </row>
    <row r="330" spans="1:30" x14ac:dyDescent="0.3">
      <c r="A330" t="s">
        <v>44</v>
      </c>
      <c r="B330">
        <v>2022</v>
      </c>
      <c r="C330" t="s">
        <v>58</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45</v>
      </c>
      <c r="B331">
        <v>2022</v>
      </c>
      <c r="C331" t="s">
        <v>58</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41</v>
      </c>
      <c r="B332">
        <v>2022</v>
      </c>
      <c r="C332" t="s">
        <v>59</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67</v>
      </c>
      <c r="V332">
        <v>173.3</v>
      </c>
      <c r="W332">
        <v>167.7</v>
      </c>
      <c r="X332">
        <v>177</v>
      </c>
      <c r="Y332">
        <v>166.2</v>
      </c>
      <c r="Z332">
        <v>167.2</v>
      </c>
      <c r="AA332">
        <v>170.9</v>
      </c>
      <c r="AB332">
        <v>169</v>
      </c>
      <c r="AC332">
        <v>170.2</v>
      </c>
      <c r="AD332">
        <v>170.8</v>
      </c>
    </row>
    <row r="333" spans="1:30" x14ac:dyDescent="0.3">
      <c r="A333" t="s">
        <v>44</v>
      </c>
      <c r="B333">
        <v>2022</v>
      </c>
      <c r="C333" t="s">
        <v>59</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45</v>
      </c>
      <c r="B334">
        <v>2022</v>
      </c>
      <c r="C334" t="s">
        <v>59</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41</v>
      </c>
      <c r="B335">
        <v>2022</v>
      </c>
      <c r="C335" t="s">
        <v>42</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67</v>
      </c>
      <c r="V335">
        <v>175.3</v>
      </c>
      <c r="W335">
        <v>168.9</v>
      </c>
      <c r="X335">
        <v>177.7</v>
      </c>
      <c r="Y335">
        <v>167.1</v>
      </c>
      <c r="Z335">
        <v>167.6</v>
      </c>
      <c r="AA335">
        <v>171.8</v>
      </c>
      <c r="AB335">
        <v>168.5</v>
      </c>
      <c r="AC335">
        <v>170.9</v>
      </c>
      <c r="AD335">
        <v>172.5</v>
      </c>
    </row>
    <row r="336" spans="1:30" x14ac:dyDescent="0.3">
      <c r="A336" t="s">
        <v>44</v>
      </c>
      <c r="B336">
        <v>2022</v>
      </c>
      <c r="C336" t="s">
        <v>42</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45</v>
      </c>
      <c r="B337">
        <v>2022</v>
      </c>
      <c r="C337" t="s">
        <v>42</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41</v>
      </c>
      <c r="B338">
        <v>2022</v>
      </c>
      <c r="C338" t="s">
        <v>60</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67</v>
      </c>
      <c r="V338">
        <v>176.7</v>
      </c>
      <c r="W338">
        <v>170.3</v>
      </c>
      <c r="X338">
        <v>178.2</v>
      </c>
      <c r="Y338">
        <v>165.5</v>
      </c>
      <c r="Z338">
        <v>168</v>
      </c>
      <c r="AA338">
        <v>172.6</v>
      </c>
      <c r="AB338">
        <v>169.5</v>
      </c>
      <c r="AC338">
        <v>171</v>
      </c>
      <c r="AD338">
        <v>173.6</v>
      </c>
    </row>
    <row r="339" spans="1:30" x14ac:dyDescent="0.3">
      <c r="A339" t="s">
        <v>44</v>
      </c>
      <c r="B339">
        <v>2022</v>
      </c>
      <c r="C339" t="s">
        <v>60</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45</v>
      </c>
      <c r="B340">
        <v>2022</v>
      </c>
      <c r="C340" t="s">
        <v>60</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41</v>
      </c>
      <c r="B341">
        <v>2022</v>
      </c>
      <c r="C341" t="s">
        <v>61</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67</v>
      </c>
      <c r="V341">
        <v>179.6</v>
      </c>
      <c r="W341">
        <v>171.3</v>
      </c>
      <c r="X341">
        <v>178.8</v>
      </c>
      <c r="Y341">
        <v>166.3</v>
      </c>
      <c r="Z341">
        <v>168.6</v>
      </c>
      <c r="AA341">
        <v>174.7</v>
      </c>
      <c r="AB341">
        <v>169.7</v>
      </c>
      <c r="AC341">
        <v>171.8</v>
      </c>
      <c r="AD341">
        <v>174.3</v>
      </c>
    </row>
    <row r="342" spans="1:30" x14ac:dyDescent="0.3">
      <c r="A342" t="s">
        <v>44</v>
      </c>
      <c r="B342">
        <v>2022</v>
      </c>
      <c r="C342" t="s">
        <v>61</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45</v>
      </c>
      <c r="B343">
        <v>2022</v>
      </c>
      <c r="C343" t="s">
        <v>61</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41</v>
      </c>
      <c r="B344">
        <v>2022</v>
      </c>
      <c r="C344" t="s">
        <v>62</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67</v>
      </c>
      <c r="V344">
        <v>179.1</v>
      </c>
      <c r="W344">
        <v>172.3</v>
      </c>
      <c r="X344">
        <v>179.4</v>
      </c>
      <c r="Y344">
        <v>166.6</v>
      </c>
      <c r="Z344">
        <v>169.3</v>
      </c>
      <c r="AA344">
        <v>175.7</v>
      </c>
      <c r="AB344">
        <v>171.1</v>
      </c>
      <c r="AC344">
        <v>172.6</v>
      </c>
      <c r="AD344">
        <v>175.3</v>
      </c>
    </row>
    <row r="345" spans="1:30" x14ac:dyDescent="0.3">
      <c r="A345" t="s">
        <v>44</v>
      </c>
      <c r="B345">
        <v>2022</v>
      </c>
      <c r="C345" t="s">
        <v>62</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45</v>
      </c>
      <c r="B346">
        <v>2022</v>
      </c>
      <c r="C346" t="s">
        <v>62</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41</v>
      </c>
      <c r="B347">
        <v>2022</v>
      </c>
      <c r="C347" t="s">
        <v>63</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67</v>
      </c>
      <c r="V347">
        <v>179.7</v>
      </c>
      <c r="W347">
        <v>173.6</v>
      </c>
      <c r="X347">
        <v>180.2</v>
      </c>
      <c r="Y347">
        <v>166.9</v>
      </c>
      <c r="Z347">
        <v>170</v>
      </c>
      <c r="AA347">
        <v>176.2</v>
      </c>
      <c r="AB347">
        <v>170.8</v>
      </c>
      <c r="AC347">
        <v>173.1</v>
      </c>
      <c r="AD347">
        <v>176.4</v>
      </c>
    </row>
    <row r="348" spans="1:30" x14ac:dyDescent="0.3">
      <c r="A348" t="s">
        <v>44</v>
      </c>
      <c r="B348">
        <v>2022</v>
      </c>
      <c r="C348" t="s">
        <v>63</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45</v>
      </c>
      <c r="B349">
        <v>2022</v>
      </c>
      <c r="C349" t="s">
        <v>63</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41</v>
      </c>
      <c r="B350">
        <v>2022</v>
      </c>
      <c r="C350" t="s">
        <v>64</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67</v>
      </c>
      <c r="V350">
        <v>180.8</v>
      </c>
      <c r="W350">
        <v>174.4</v>
      </c>
      <c r="X350">
        <v>181.2</v>
      </c>
      <c r="Y350">
        <v>167.4</v>
      </c>
      <c r="Z350">
        <v>170.6</v>
      </c>
      <c r="AA350">
        <v>176.5</v>
      </c>
      <c r="AB350">
        <v>172</v>
      </c>
      <c r="AC350">
        <v>173.9</v>
      </c>
      <c r="AD350">
        <v>177.9</v>
      </c>
    </row>
    <row r="351" spans="1:30" x14ac:dyDescent="0.3">
      <c r="A351" t="s">
        <v>44</v>
      </c>
      <c r="B351">
        <v>2022</v>
      </c>
      <c r="C351" t="s">
        <v>64</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45</v>
      </c>
      <c r="B352">
        <v>2022</v>
      </c>
      <c r="C352" t="s">
        <v>64</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41</v>
      </c>
      <c r="B353">
        <v>2022</v>
      </c>
      <c r="C353" t="s">
        <v>65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67</v>
      </c>
      <c r="V353">
        <v>181.9</v>
      </c>
      <c r="W353">
        <v>175.5</v>
      </c>
      <c r="X353">
        <v>182.3</v>
      </c>
      <c r="Y353">
        <v>167.5</v>
      </c>
      <c r="Z353">
        <v>170.8</v>
      </c>
      <c r="AA353">
        <v>176.9</v>
      </c>
      <c r="AB353">
        <v>173.4</v>
      </c>
      <c r="AC353">
        <v>174.6</v>
      </c>
      <c r="AD353">
        <v>177.8</v>
      </c>
    </row>
    <row r="354" spans="1:30" x14ac:dyDescent="0.3">
      <c r="A354" t="s">
        <v>44</v>
      </c>
      <c r="B354">
        <v>2022</v>
      </c>
      <c r="C354" t="s">
        <v>65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45</v>
      </c>
      <c r="B355">
        <v>2022</v>
      </c>
      <c r="C355" t="s">
        <v>65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41</v>
      </c>
      <c r="B356">
        <v>2022</v>
      </c>
      <c r="C356" t="s">
        <v>66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67</v>
      </c>
      <c r="V356">
        <v>182.8</v>
      </c>
      <c r="W356">
        <v>176.4</v>
      </c>
      <c r="X356">
        <v>183.5</v>
      </c>
      <c r="Y356">
        <v>167.8</v>
      </c>
      <c r="Z356">
        <v>171.2</v>
      </c>
      <c r="AA356">
        <v>177.3</v>
      </c>
      <c r="AB356">
        <v>175.7</v>
      </c>
      <c r="AC356">
        <v>175.5</v>
      </c>
      <c r="AD356">
        <v>177.1</v>
      </c>
    </row>
    <row r="357" spans="1:30" x14ac:dyDescent="0.3">
      <c r="A357" t="s">
        <v>44</v>
      </c>
      <c r="B357">
        <v>2022</v>
      </c>
      <c r="C357" t="s">
        <v>66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45</v>
      </c>
      <c r="B358">
        <v>2022</v>
      </c>
      <c r="C358" t="s">
        <v>66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41</v>
      </c>
      <c r="B359">
        <v>2023</v>
      </c>
      <c r="C359" t="s">
        <v>56</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67</v>
      </c>
      <c r="V359">
        <v>183.2</v>
      </c>
      <c r="W359">
        <v>177.2</v>
      </c>
      <c r="X359">
        <v>184.7</v>
      </c>
      <c r="Y359">
        <v>168.2</v>
      </c>
      <c r="Z359">
        <v>171.8</v>
      </c>
      <c r="AA359">
        <v>177.8</v>
      </c>
      <c r="AB359">
        <v>178.4</v>
      </c>
      <c r="AC359">
        <v>176.5</v>
      </c>
      <c r="AD359">
        <v>177.8</v>
      </c>
    </row>
    <row r="360" spans="1:30" x14ac:dyDescent="0.3">
      <c r="A360" t="s">
        <v>44</v>
      </c>
      <c r="B360">
        <v>2023</v>
      </c>
      <c r="C360" t="s">
        <v>56</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45</v>
      </c>
      <c r="B361">
        <v>2023</v>
      </c>
      <c r="C361" t="s">
        <v>56</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41</v>
      </c>
      <c r="B362">
        <v>2023</v>
      </c>
      <c r="C362" t="s">
        <v>57</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67</v>
      </c>
      <c r="V362">
        <v>181.6</v>
      </c>
      <c r="W362">
        <v>178.6</v>
      </c>
      <c r="X362">
        <v>186.6</v>
      </c>
      <c r="Y362">
        <v>169</v>
      </c>
      <c r="Z362">
        <v>172.8</v>
      </c>
      <c r="AA362">
        <v>178.5</v>
      </c>
      <c r="AB362">
        <v>180.7</v>
      </c>
      <c r="AC362">
        <v>177.9</v>
      </c>
      <c r="AD362">
        <v>178</v>
      </c>
    </row>
    <row r="363" spans="1:30" x14ac:dyDescent="0.3">
      <c r="A363" t="s">
        <v>44</v>
      </c>
      <c r="B363">
        <v>2023</v>
      </c>
      <c r="C363" t="s">
        <v>57</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45</v>
      </c>
      <c r="B364">
        <v>2023</v>
      </c>
      <c r="C364" t="s">
        <v>57</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41</v>
      </c>
      <c r="B365">
        <v>2023</v>
      </c>
      <c r="C365" t="s">
        <v>58</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67</v>
      </c>
      <c r="V365">
        <v>181.4</v>
      </c>
      <c r="W365">
        <v>178.6</v>
      </c>
      <c r="X365">
        <v>186.6</v>
      </c>
      <c r="Y365">
        <v>169</v>
      </c>
      <c r="Z365">
        <v>172.8</v>
      </c>
      <c r="AA365">
        <v>178.5</v>
      </c>
      <c r="AB365">
        <v>180.7</v>
      </c>
      <c r="AC365">
        <v>177.9</v>
      </c>
      <c r="AD365">
        <v>178</v>
      </c>
    </row>
    <row r="366" spans="1:30" x14ac:dyDescent="0.3">
      <c r="A366" t="s">
        <v>44</v>
      </c>
      <c r="B366">
        <v>2023</v>
      </c>
      <c r="C366" t="s">
        <v>58</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45</v>
      </c>
      <c r="B367">
        <v>2023</v>
      </c>
      <c r="C367" t="s">
        <v>58</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41</v>
      </c>
      <c r="B368">
        <v>2023</v>
      </c>
      <c r="C368" t="s">
        <v>59</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43</v>
      </c>
      <c r="V368">
        <v>181.5</v>
      </c>
      <c r="W368">
        <v>179.1</v>
      </c>
      <c r="X368">
        <v>187.2</v>
      </c>
      <c r="Y368">
        <v>169.4</v>
      </c>
      <c r="Z368">
        <v>173.2</v>
      </c>
      <c r="AA368">
        <v>179.4</v>
      </c>
      <c r="AB368">
        <v>183.8</v>
      </c>
      <c r="AC368">
        <v>178.9</v>
      </c>
      <c r="AD368">
        <v>178.8</v>
      </c>
    </row>
    <row r="369" spans="1:30" x14ac:dyDescent="0.3">
      <c r="A369" t="s">
        <v>44</v>
      </c>
      <c r="B369">
        <v>2023</v>
      </c>
      <c r="C369" t="s">
        <v>59</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45</v>
      </c>
      <c r="B370">
        <v>2023</v>
      </c>
      <c r="C370" t="s">
        <v>59</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41</v>
      </c>
      <c r="B371">
        <v>2023</v>
      </c>
      <c r="C371" t="s">
        <v>42</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43</v>
      </c>
      <c r="V371">
        <v>182.5</v>
      </c>
      <c r="W371">
        <v>179.8</v>
      </c>
      <c r="X371">
        <v>187.8</v>
      </c>
      <c r="Y371">
        <v>169.7</v>
      </c>
      <c r="Z371">
        <v>173.8</v>
      </c>
      <c r="AA371">
        <v>180.3</v>
      </c>
      <c r="AB371">
        <v>184.9</v>
      </c>
      <c r="AC371">
        <v>179.5</v>
      </c>
      <c r="AD371">
        <v>179.8</v>
      </c>
    </row>
    <row r="372" spans="1:30" x14ac:dyDescent="0.3">
      <c r="A372" t="s">
        <v>44</v>
      </c>
      <c r="B372">
        <v>2023</v>
      </c>
      <c r="C372" t="s">
        <v>42</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45</v>
      </c>
      <c r="B373">
        <v>2023</v>
      </c>
      <c r="C373" t="s">
        <v>42</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E91C-010A-49E1-BF69-1401FA7541C3}">
  <sheetPr>
    <tabColor theme="7" tint="0.79998168889431442"/>
  </sheetPr>
  <dimension ref="A1:AD376"/>
  <sheetViews>
    <sheetView topLeftCell="U1" workbookViewId="0">
      <selection activeCell="F5" sqref="F5"/>
    </sheetView>
  </sheetViews>
  <sheetFormatPr defaultRowHeight="14.4" x14ac:dyDescent="0.3"/>
  <sheetData>
    <row r="1" spans="1:30" x14ac:dyDescent="0.3">
      <c r="A1" s="6" t="s">
        <v>37</v>
      </c>
      <c r="B1" s="6" t="s">
        <v>38</v>
      </c>
      <c r="C1" s="6" t="s">
        <v>39</v>
      </c>
      <c r="D1" s="6" t="s">
        <v>1</v>
      </c>
      <c r="E1" s="6" t="s">
        <v>9</v>
      </c>
      <c r="F1" s="6" t="s">
        <v>10</v>
      </c>
      <c r="G1" s="6" t="s">
        <v>11</v>
      </c>
      <c r="H1" s="6" t="s">
        <v>2</v>
      </c>
      <c r="I1" s="6" t="s">
        <v>3</v>
      </c>
      <c r="J1" s="6" t="s">
        <v>4</v>
      </c>
      <c r="K1" s="6" t="s">
        <v>6</v>
      </c>
      <c r="L1" s="6" t="s">
        <v>7</v>
      </c>
      <c r="M1" s="6" t="s">
        <v>8</v>
      </c>
      <c r="N1" s="6" t="s">
        <v>13</v>
      </c>
      <c r="O1" s="6" t="s">
        <v>14</v>
      </c>
      <c r="P1" s="6" t="s">
        <v>40</v>
      </c>
      <c r="Q1" s="6" t="s">
        <v>30</v>
      </c>
      <c r="R1" s="6" t="s">
        <v>15</v>
      </c>
      <c r="S1" s="6" t="s">
        <v>16</v>
      </c>
      <c r="T1" s="6" t="s">
        <v>18</v>
      </c>
      <c r="U1" s="6" t="s">
        <v>22</v>
      </c>
      <c r="V1" s="6" t="s">
        <v>23</v>
      </c>
      <c r="W1" s="6" t="s">
        <v>25</v>
      </c>
      <c r="X1" s="6" t="s">
        <v>32</v>
      </c>
      <c r="Y1" s="6" t="s">
        <v>26</v>
      </c>
      <c r="Z1" s="6" t="s">
        <v>28</v>
      </c>
      <c r="AA1" s="6" t="s">
        <v>29</v>
      </c>
      <c r="AB1" s="6" t="s">
        <v>19</v>
      </c>
      <c r="AC1" s="6" t="s">
        <v>20</v>
      </c>
      <c r="AD1" s="6" t="s">
        <v>55</v>
      </c>
    </row>
    <row r="2" spans="1:30" x14ac:dyDescent="0.3">
      <c r="A2" t="s">
        <v>41</v>
      </c>
      <c r="B2">
        <v>2013</v>
      </c>
      <c r="C2" t="s">
        <v>56</v>
      </c>
      <c r="D2">
        <v>107.5</v>
      </c>
      <c r="E2">
        <v>106.3</v>
      </c>
      <c r="F2">
        <v>108.1</v>
      </c>
      <c r="G2">
        <v>104.9</v>
      </c>
      <c r="H2">
        <v>106.1</v>
      </c>
      <c r="I2">
        <v>103.9</v>
      </c>
      <c r="J2">
        <v>101.9</v>
      </c>
      <c r="K2">
        <v>106.1</v>
      </c>
      <c r="L2">
        <v>106.8</v>
      </c>
      <c r="M2">
        <v>103.1</v>
      </c>
      <c r="N2">
        <v>104.8</v>
      </c>
      <c r="O2">
        <v>106.7</v>
      </c>
      <c r="P2">
        <v>105.5</v>
      </c>
      <c r="Q2">
        <v>105.1</v>
      </c>
      <c r="R2">
        <v>106.5</v>
      </c>
      <c r="S2">
        <v>105.8</v>
      </c>
      <c r="T2">
        <v>106.4</v>
      </c>
      <c r="U2" t="s">
        <v>67</v>
      </c>
      <c r="V2">
        <v>105.5</v>
      </c>
      <c r="W2">
        <v>104.8</v>
      </c>
      <c r="X2">
        <v>104</v>
      </c>
      <c r="Y2">
        <v>103.3</v>
      </c>
      <c r="Z2">
        <v>103.4</v>
      </c>
      <c r="AA2">
        <v>103.8</v>
      </c>
      <c r="AB2">
        <v>104.7</v>
      </c>
      <c r="AC2">
        <v>104</v>
      </c>
      <c r="AD2">
        <v>105.1</v>
      </c>
    </row>
    <row r="3" spans="1:30" x14ac:dyDescent="0.3">
      <c r="A3" t="s">
        <v>44</v>
      </c>
      <c r="B3">
        <v>2013</v>
      </c>
      <c r="C3" t="s">
        <v>56</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45</v>
      </c>
      <c r="B4">
        <v>2013</v>
      </c>
      <c r="C4" t="s">
        <v>56</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41</v>
      </c>
      <c r="B5">
        <v>2013</v>
      </c>
      <c r="C5" t="s">
        <v>57</v>
      </c>
      <c r="D5">
        <v>109.2</v>
      </c>
      <c r="E5">
        <v>108.7</v>
      </c>
      <c r="F5">
        <v>110.2</v>
      </c>
      <c r="G5">
        <v>105.4</v>
      </c>
      <c r="H5">
        <v>106.7</v>
      </c>
      <c r="I5">
        <v>104</v>
      </c>
      <c r="J5">
        <v>102.4</v>
      </c>
      <c r="K5">
        <v>105.9</v>
      </c>
      <c r="L5">
        <v>105.7</v>
      </c>
      <c r="M5">
        <v>103.1</v>
      </c>
      <c r="N5">
        <v>105.1</v>
      </c>
      <c r="O5">
        <v>107.7</v>
      </c>
      <c r="P5">
        <v>106.3</v>
      </c>
      <c r="Q5">
        <v>105.6</v>
      </c>
      <c r="R5">
        <v>107.1</v>
      </c>
      <c r="S5">
        <v>106.3</v>
      </c>
      <c r="T5">
        <v>107</v>
      </c>
      <c r="U5" t="s">
        <v>67</v>
      </c>
      <c r="V5">
        <v>106.2</v>
      </c>
      <c r="W5">
        <v>105.2</v>
      </c>
      <c r="X5">
        <v>104.4</v>
      </c>
      <c r="Y5">
        <v>103.9</v>
      </c>
      <c r="Z5">
        <v>104</v>
      </c>
      <c r="AA5">
        <v>104.1</v>
      </c>
      <c r="AB5">
        <v>104.6</v>
      </c>
      <c r="AC5">
        <v>104.4</v>
      </c>
      <c r="AD5">
        <v>105.8</v>
      </c>
    </row>
    <row r="6" spans="1:30" x14ac:dyDescent="0.3">
      <c r="A6" t="s">
        <v>44</v>
      </c>
      <c r="B6">
        <v>2013</v>
      </c>
      <c r="C6" t="s">
        <v>57</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45</v>
      </c>
      <c r="B7">
        <v>2013</v>
      </c>
      <c r="C7" t="s">
        <v>57</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41</v>
      </c>
      <c r="B8">
        <v>2013</v>
      </c>
      <c r="C8" t="s">
        <v>58</v>
      </c>
      <c r="D8">
        <v>110.2</v>
      </c>
      <c r="E8">
        <v>108.8</v>
      </c>
      <c r="F8">
        <v>109.9</v>
      </c>
      <c r="G8">
        <v>105.6</v>
      </c>
      <c r="H8">
        <v>106.2</v>
      </c>
      <c r="I8">
        <v>105.7</v>
      </c>
      <c r="J8">
        <v>101.4</v>
      </c>
      <c r="K8">
        <v>105.7</v>
      </c>
      <c r="L8">
        <v>105</v>
      </c>
      <c r="M8">
        <v>103.3</v>
      </c>
      <c r="N8">
        <v>105.6</v>
      </c>
      <c r="O8">
        <v>108.2</v>
      </c>
      <c r="P8">
        <v>106.6</v>
      </c>
      <c r="Q8">
        <v>106.5</v>
      </c>
      <c r="R8">
        <v>107.6</v>
      </c>
      <c r="S8">
        <v>106.8</v>
      </c>
      <c r="T8">
        <v>107.5</v>
      </c>
      <c r="U8" t="s">
        <v>67</v>
      </c>
      <c r="V8">
        <v>106.1</v>
      </c>
      <c r="W8">
        <v>105.6</v>
      </c>
      <c r="X8">
        <v>104.7</v>
      </c>
      <c r="Y8">
        <v>104.6</v>
      </c>
      <c r="Z8">
        <v>104</v>
      </c>
      <c r="AA8">
        <v>104.3</v>
      </c>
      <c r="AB8">
        <v>104.3</v>
      </c>
      <c r="AC8">
        <v>104.6</v>
      </c>
      <c r="AD8">
        <v>106</v>
      </c>
    </row>
    <row r="9" spans="1:30" x14ac:dyDescent="0.3">
      <c r="A9" t="s">
        <v>44</v>
      </c>
      <c r="B9">
        <v>2013</v>
      </c>
      <c r="C9" t="s">
        <v>58</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45</v>
      </c>
      <c r="B10">
        <v>2013</v>
      </c>
      <c r="C10" t="s">
        <v>58</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41</v>
      </c>
      <c r="B11">
        <v>2013</v>
      </c>
      <c r="C11" t="s">
        <v>59</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67</v>
      </c>
      <c r="V11">
        <v>106.5</v>
      </c>
      <c r="W11">
        <v>106.1</v>
      </c>
      <c r="X11">
        <v>105.1</v>
      </c>
      <c r="Y11">
        <v>104.4</v>
      </c>
      <c r="Z11">
        <v>104.5</v>
      </c>
      <c r="AA11">
        <v>104.8</v>
      </c>
      <c r="AB11">
        <v>102.7</v>
      </c>
      <c r="AC11">
        <v>104.6</v>
      </c>
      <c r="AD11">
        <v>106.4</v>
      </c>
    </row>
    <row r="12" spans="1:30" x14ac:dyDescent="0.3">
      <c r="A12" t="s">
        <v>44</v>
      </c>
      <c r="B12">
        <v>2013</v>
      </c>
      <c r="C12" t="s">
        <v>59</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45</v>
      </c>
      <c r="B13">
        <v>2013</v>
      </c>
      <c r="C13" t="s">
        <v>59</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41</v>
      </c>
      <c r="B14">
        <v>2013</v>
      </c>
      <c r="C14" t="s">
        <v>42</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67</v>
      </c>
      <c r="V14">
        <v>107.5</v>
      </c>
      <c r="W14">
        <v>106.8</v>
      </c>
      <c r="X14">
        <v>105.7</v>
      </c>
      <c r="Y14">
        <v>104.1</v>
      </c>
      <c r="Z14">
        <v>105</v>
      </c>
      <c r="AA14">
        <v>105.5</v>
      </c>
      <c r="AB14">
        <v>102.1</v>
      </c>
      <c r="AC14">
        <v>104.8</v>
      </c>
      <c r="AD14">
        <v>107.2</v>
      </c>
    </row>
    <row r="15" spans="1:30" x14ac:dyDescent="0.3">
      <c r="A15" t="s">
        <v>44</v>
      </c>
      <c r="B15">
        <v>2013</v>
      </c>
      <c r="C15" t="s">
        <v>42</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45</v>
      </c>
      <c r="B16">
        <v>2013</v>
      </c>
      <c r="C16" t="s">
        <v>42</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41</v>
      </c>
      <c r="B17">
        <v>2013</v>
      </c>
      <c r="C17" t="s">
        <v>60</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67</v>
      </c>
      <c r="V17">
        <v>108.5</v>
      </c>
      <c r="W17">
        <v>107.5</v>
      </c>
      <c r="X17">
        <v>106.3</v>
      </c>
      <c r="Y17">
        <v>105</v>
      </c>
      <c r="Z17">
        <v>105.6</v>
      </c>
      <c r="AA17">
        <v>106.5</v>
      </c>
      <c r="AB17">
        <v>102.5</v>
      </c>
      <c r="AC17">
        <v>105.5</v>
      </c>
      <c r="AD17">
        <v>108.9</v>
      </c>
    </row>
    <row r="18" spans="1:30" x14ac:dyDescent="0.3">
      <c r="A18" t="s">
        <v>44</v>
      </c>
      <c r="B18">
        <v>2013</v>
      </c>
      <c r="C18" t="s">
        <v>60</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45</v>
      </c>
      <c r="B19">
        <v>2013</v>
      </c>
      <c r="C19" t="s">
        <v>60</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41</v>
      </c>
      <c r="B20">
        <v>2013</v>
      </c>
      <c r="C20" t="s">
        <v>61</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67</v>
      </c>
      <c r="V20">
        <v>109.5</v>
      </c>
      <c r="W20">
        <v>108.3</v>
      </c>
      <c r="X20">
        <v>106.9</v>
      </c>
      <c r="Y20">
        <v>106.8</v>
      </c>
      <c r="Z20">
        <v>106.4</v>
      </c>
      <c r="AA20">
        <v>107.8</v>
      </c>
      <c r="AB20">
        <v>102.5</v>
      </c>
      <c r="AC20">
        <v>106.5</v>
      </c>
      <c r="AD20">
        <v>110.7</v>
      </c>
    </row>
    <row r="21" spans="1:30" x14ac:dyDescent="0.3">
      <c r="A21" t="s">
        <v>44</v>
      </c>
      <c r="B21">
        <v>2013</v>
      </c>
      <c r="C21" t="s">
        <v>61</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45</v>
      </c>
      <c r="B22">
        <v>2013</v>
      </c>
      <c r="C22" t="s">
        <v>61</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41</v>
      </c>
      <c r="B23">
        <v>2013</v>
      </c>
      <c r="C23" t="s">
        <v>62</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67</v>
      </c>
      <c r="V23">
        <v>109.9</v>
      </c>
      <c r="W23">
        <v>108.7</v>
      </c>
      <c r="X23">
        <v>107.5</v>
      </c>
      <c r="Y23">
        <v>107.8</v>
      </c>
      <c r="Z23">
        <v>106.8</v>
      </c>
      <c r="AA23">
        <v>108.7</v>
      </c>
      <c r="AB23">
        <v>105</v>
      </c>
      <c r="AC23">
        <v>107.5</v>
      </c>
      <c r="AD23">
        <v>112.1</v>
      </c>
    </row>
    <row r="24" spans="1:30" x14ac:dyDescent="0.3">
      <c r="A24" t="s">
        <v>44</v>
      </c>
      <c r="B24">
        <v>2013</v>
      </c>
      <c r="C24" t="s">
        <v>62</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45</v>
      </c>
      <c r="B25">
        <v>2013</v>
      </c>
      <c r="C25" t="s">
        <v>62</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41</v>
      </c>
      <c r="B26">
        <v>2013</v>
      </c>
      <c r="C26" t="s">
        <v>63</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67</v>
      </c>
      <c r="V26">
        <v>111.1</v>
      </c>
      <c r="W26">
        <v>109.6</v>
      </c>
      <c r="X26">
        <v>108.3</v>
      </c>
      <c r="Y26">
        <v>109.3</v>
      </c>
      <c r="Z26">
        <v>107.7</v>
      </c>
      <c r="AA26">
        <v>109.8</v>
      </c>
      <c r="AB26">
        <v>106.7</v>
      </c>
      <c r="AC26">
        <v>108.7</v>
      </c>
      <c r="AD26">
        <v>114.2</v>
      </c>
    </row>
    <row r="27" spans="1:30" x14ac:dyDescent="0.3">
      <c r="A27" t="s">
        <v>44</v>
      </c>
      <c r="B27">
        <v>2013</v>
      </c>
      <c r="C27" t="s">
        <v>63</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45</v>
      </c>
      <c r="B28">
        <v>2013</v>
      </c>
      <c r="C28" t="s">
        <v>63</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41</v>
      </c>
      <c r="B29">
        <v>2013</v>
      </c>
      <c r="C29" t="s">
        <v>64</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67</v>
      </c>
      <c r="V29">
        <v>111.6</v>
      </c>
      <c r="W29">
        <v>110.4</v>
      </c>
      <c r="X29">
        <v>108.9</v>
      </c>
      <c r="Y29">
        <v>109.3</v>
      </c>
      <c r="Z29">
        <v>108.3</v>
      </c>
      <c r="AA29">
        <v>110.2</v>
      </c>
      <c r="AB29">
        <v>107.5</v>
      </c>
      <c r="AC29">
        <v>109.1</v>
      </c>
      <c r="AD29">
        <v>115.5</v>
      </c>
    </row>
    <row r="30" spans="1:30" x14ac:dyDescent="0.3">
      <c r="A30" t="s">
        <v>44</v>
      </c>
      <c r="B30">
        <v>2013</v>
      </c>
      <c r="C30" t="s">
        <v>64</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45</v>
      </c>
      <c r="B31">
        <v>2013</v>
      </c>
      <c r="C31" t="s">
        <v>64</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41</v>
      </c>
      <c r="B32">
        <v>2013</v>
      </c>
      <c r="C32" t="s">
        <v>186</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67</v>
      </c>
      <c r="V32">
        <v>112.6</v>
      </c>
      <c r="W32">
        <v>111.3</v>
      </c>
      <c r="X32">
        <v>109.7</v>
      </c>
      <c r="Y32">
        <v>109.6</v>
      </c>
      <c r="Z32">
        <v>108.7</v>
      </c>
      <c r="AA32">
        <v>111</v>
      </c>
      <c r="AB32">
        <v>108.2</v>
      </c>
      <c r="AC32">
        <v>109.8</v>
      </c>
      <c r="AD32">
        <v>117.4</v>
      </c>
    </row>
    <row r="33" spans="1:30" x14ac:dyDescent="0.3">
      <c r="A33" t="s">
        <v>44</v>
      </c>
      <c r="B33">
        <v>2013</v>
      </c>
      <c r="C33" t="s">
        <v>65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45</v>
      </c>
      <c r="B34">
        <v>2013</v>
      </c>
      <c r="C34" t="s">
        <v>65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41</v>
      </c>
      <c r="B35">
        <v>2013</v>
      </c>
      <c r="C35" t="s">
        <v>66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67</v>
      </c>
      <c r="V35">
        <v>112.8</v>
      </c>
      <c r="W35">
        <v>112.1</v>
      </c>
      <c r="X35">
        <v>110.1</v>
      </c>
      <c r="Y35">
        <v>109.9</v>
      </c>
      <c r="Z35">
        <v>109.2</v>
      </c>
      <c r="AA35">
        <v>111.6</v>
      </c>
      <c r="AB35">
        <v>108.1</v>
      </c>
      <c r="AC35">
        <v>110.1</v>
      </c>
      <c r="AD35">
        <v>115.5</v>
      </c>
    </row>
    <row r="36" spans="1:30" x14ac:dyDescent="0.3">
      <c r="A36" t="s">
        <v>44</v>
      </c>
      <c r="B36">
        <v>2013</v>
      </c>
      <c r="C36" t="s">
        <v>66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45</v>
      </c>
      <c r="B37">
        <v>2013</v>
      </c>
      <c r="C37" t="s">
        <v>66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41</v>
      </c>
      <c r="B38">
        <v>2014</v>
      </c>
      <c r="C38" t="s">
        <v>56</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67</v>
      </c>
      <c r="V38">
        <v>113</v>
      </c>
      <c r="W38">
        <v>112.6</v>
      </c>
      <c r="X38">
        <v>110.6</v>
      </c>
      <c r="Y38">
        <v>110.5</v>
      </c>
      <c r="Z38">
        <v>109.6</v>
      </c>
      <c r="AA38">
        <v>111.8</v>
      </c>
      <c r="AB38">
        <v>108.3</v>
      </c>
      <c r="AC38">
        <v>110.6</v>
      </c>
      <c r="AD38">
        <v>114.2</v>
      </c>
    </row>
    <row r="39" spans="1:30" x14ac:dyDescent="0.3">
      <c r="A39" t="s">
        <v>44</v>
      </c>
      <c r="B39">
        <v>2014</v>
      </c>
      <c r="C39" t="s">
        <v>56</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45</v>
      </c>
      <c r="B40">
        <v>2014</v>
      </c>
      <c r="C40" t="s">
        <v>56</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41</v>
      </c>
      <c r="B41">
        <v>2014</v>
      </c>
      <c r="C41" t="s">
        <v>57</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67</v>
      </c>
      <c r="V41">
        <v>113.2</v>
      </c>
      <c r="W41">
        <v>112.9</v>
      </c>
      <c r="X41">
        <v>110.9</v>
      </c>
      <c r="Y41">
        <v>110.8</v>
      </c>
      <c r="Z41">
        <v>109.9</v>
      </c>
      <c r="AA41">
        <v>112</v>
      </c>
      <c r="AB41">
        <v>108.7</v>
      </c>
      <c r="AC41">
        <v>110.9</v>
      </c>
      <c r="AD41">
        <v>114</v>
      </c>
    </row>
    <row r="42" spans="1:30" x14ac:dyDescent="0.3">
      <c r="A42" t="s">
        <v>44</v>
      </c>
      <c r="B42">
        <v>2014</v>
      </c>
      <c r="C42" t="s">
        <v>57</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45</v>
      </c>
      <c r="B43">
        <v>2014</v>
      </c>
      <c r="C43" t="s">
        <v>57</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41</v>
      </c>
      <c r="B44">
        <v>2014</v>
      </c>
      <c r="C44" t="s">
        <v>58</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67</v>
      </c>
      <c r="V44">
        <v>113.4</v>
      </c>
      <c r="W44">
        <v>113.4</v>
      </c>
      <c r="X44">
        <v>111.4</v>
      </c>
      <c r="Y44">
        <v>111.2</v>
      </c>
      <c r="Z44">
        <v>110.2</v>
      </c>
      <c r="AA44">
        <v>112.4</v>
      </c>
      <c r="AB44">
        <v>108.9</v>
      </c>
      <c r="AC44">
        <v>111.3</v>
      </c>
      <c r="AD44">
        <v>114.6</v>
      </c>
    </row>
    <row r="45" spans="1:30" x14ac:dyDescent="0.3">
      <c r="A45" t="s">
        <v>44</v>
      </c>
      <c r="B45">
        <v>2014</v>
      </c>
      <c r="C45" t="s">
        <v>58</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45</v>
      </c>
      <c r="B46">
        <v>2014</v>
      </c>
      <c r="C46" t="s">
        <v>187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41</v>
      </c>
      <c r="B47">
        <v>2014</v>
      </c>
      <c r="C47" t="s">
        <v>59</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67</v>
      </c>
      <c r="V47">
        <v>113.4</v>
      </c>
      <c r="W47">
        <v>113.7</v>
      </c>
      <c r="X47">
        <v>111.8</v>
      </c>
      <c r="Y47">
        <v>111.2</v>
      </c>
      <c r="Z47">
        <v>110.5</v>
      </c>
      <c r="AA47">
        <v>113</v>
      </c>
      <c r="AB47">
        <v>108.9</v>
      </c>
      <c r="AC47">
        <v>111.5</v>
      </c>
      <c r="AD47">
        <v>115.4</v>
      </c>
    </row>
    <row r="48" spans="1:30" x14ac:dyDescent="0.3">
      <c r="A48" t="s">
        <v>44</v>
      </c>
      <c r="B48">
        <v>2014</v>
      </c>
      <c r="C48" t="s">
        <v>59</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45</v>
      </c>
      <c r="B49">
        <v>2014</v>
      </c>
      <c r="C49" t="s">
        <v>59</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41</v>
      </c>
      <c r="B50">
        <v>2014</v>
      </c>
      <c r="C50" t="s">
        <v>42</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67</v>
      </c>
      <c r="V50">
        <v>113.4</v>
      </c>
      <c r="W50">
        <v>114.1</v>
      </c>
      <c r="X50">
        <v>112.1</v>
      </c>
      <c r="Y50">
        <v>111.4</v>
      </c>
      <c r="Z50">
        <v>110.9</v>
      </c>
      <c r="AA50">
        <v>113.1</v>
      </c>
      <c r="AB50">
        <v>108.9</v>
      </c>
      <c r="AC50">
        <v>111.8</v>
      </c>
      <c r="AD50">
        <v>116</v>
      </c>
    </row>
    <row r="51" spans="1:30" x14ac:dyDescent="0.3">
      <c r="A51" t="s">
        <v>44</v>
      </c>
      <c r="B51">
        <v>2014</v>
      </c>
      <c r="C51" t="s">
        <v>42</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45</v>
      </c>
      <c r="B52">
        <v>2014</v>
      </c>
      <c r="C52" t="s">
        <v>42</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41</v>
      </c>
      <c r="B53">
        <v>2014</v>
      </c>
      <c r="C53" t="s">
        <v>60</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67</v>
      </c>
      <c r="V53">
        <v>114.4</v>
      </c>
      <c r="W53">
        <v>114.9</v>
      </c>
      <c r="X53">
        <v>112.8</v>
      </c>
      <c r="Y53">
        <v>112.2</v>
      </c>
      <c r="Z53">
        <v>111.4</v>
      </c>
      <c r="AA53">
        <v>114.3</v>
      </c>
      <c r="AB53">
        <v>108</v>
      </c>
      <c r="AC53">
        <v>112.3</v>
      </c>
      <c r="AD53">
        <v>117</v>
      </c>
    </row>
    <row r="54" spans="1:30" x14ac:dyDescent="0.3">
      <c r="A54" t="s">
        <v>44</v>
      </c>
      <c r="B54">
        <v>2014</v>
      </c>
      <c r="C54" t="s">
        <v>60</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45</v>
      </c>
      <c r="B55">
        <v>2014</v>
      </c>
      <c r="C55" t="s">
        <v>60</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41</v>
      </c>
      <c r="B56">
        <v>2014</v>
      </c>
      <c r="C56" t="s">
        <v>61</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67</v>
      </c>
      <c r="V56">
        <v>115.3</v>
      </c>
      <c r="W56">
        <v>115.4</v>
      </c>
      <c r="X56">
        <v>113.4</v>
      </c>
      <c r="Y56">
        <v>113.2</v>
      </c>
      <c r="Z56">
        <v>111.8</v>
      </c>
      <c r="AA56">
        <v>115.5</v>
      </c>
      <c r="AB56">
        <v>108.8</v>
      </c>
      <c r="AC56">
        <v>113.1</v>
      </c>
      <c r="AD56">
        <v>119.5</v>
      </c>
    </row>
    <row r="57" spans="1:30" x14ac:dyDescent="0.3">
      <c r="A57" t="s">
        <v>44</v>
      </c>
      <c r="B57">
        <v>2014</v>
      </c>
      <c r="C57" t="s">
        <v>61</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45</v>
      </c>
      <c r="B58">
        <v>2014</v>
      </c>
      <c r="C58" t="s">
        <v>61</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41</v>
      </c>
      <c r="B59">
        <v>2014</v>
      </c>
      <c r="C59" t="s">
        <v>62</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67</v>
      </c>
      <c r="V59">
        <v>115.4</v>
      </c>
      <c r="W59">
        <v>115.9</v>
      </c>
      <c r="X59">
        <v>114</v>
      </c>
      <c r="Y59">
        <v>113.2</v>
      </c>
      <c r="Z59">
        <v>112.2</v>
      </c>
      <c r="AA59">
        <v>116.2</v>
      </c>
      <c r="AB59">
        <v>109.4</v>
      </c>
      <c r="AC59">
        <v>113.5</v>
      </c>
      <c r="AD59">
        <v>120.7</v>
      </c>
    </row>
    <row r="60" spans="1:30" x14ac:dyDescent="0.3">
      <c r="A60" t="s">
        <v>44</v>
      </c>
      <c r="B60">
        <v>2014</v>
      </c>
      <c r="C60" t="s">
        <v>62</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45</v>
      </c>
      <c r="B61">
        <v>2014</v>
      </c>
      <c r="C61" t="s">
        <v>62</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41</v>
      </c>
      <c r="B62">
        <v>2014</v>
      </c>
      <c r="C62" t="s">
        <v>63</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67</v>
      </c>
      <c r="V62">
        <v>115.8</v>
      </c>
      <c r="W62">
        <v>116.7</v>
      </c>
      <c r="X62">
        <v>114.5</v>
      </c>
      <c r="Y62">
        <v>112.8</v>
      </c>
      <c r="Z62">
        <v>112.6</v>
      </c>
      <c r="AA62">
        <v>116.6</v>
      </c>
      <c r="AB62">
        <v>109.1</v>
      </c>
      <c r="AC62">
        <v>113.7</v>
      </c>
      <c r="AD62">
        <v>120.9</v>
      </c>
    </row>
    <row r="63" spans="1:30" x14ac:dyDescent="0.3">
      <c r="A63" t="s">
        <v>44</v>
      </c>
      <c r="B63">
        <v>2014</v>
      </c>
      <c r="C63" t="s">
        <v>63</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45</v>
      </c>
      <c r="B64">
        <v>2014</v>
      </c>
      <c r="C64" t="s">
        <v>63</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41</v>
      </c>
      <c r="B65">
        <v>2014</v>
      </c>
      <c r="C65" t="s">
        <v>64</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67</v>
      </c>
      <c r="V65">
        <v>116.4</v>
      </c>
      <c r="W65">
        <v>117.5</v>
      </c>
      <c r="X65">
        <v>115.3</v>
      </c>
      <c r="Y65">
        <v>112.6</v>
      </c>
      <c r="Z65">
        <v>113</v>
      </c>
      <c r="AA65">
        <v>116.9</v>
      </c>
      <c r="AB65">
        <v>109.3</v>
      </c>
      <c r="AC65">
        <v>114</v>
      </c>
      <c r="AD65">
        <v>121</v>
      </c>
    </row>
    <row r="66" spans="1:30" x14ac:dyDescent="0.3">
      <c r="A66" t="s">
        <v>44</v>
      </c>
      <c r="B66">
        <v>2014</v>
      </c>
      <c r="C66" t="s">
        <v>64</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45</v>
      </c>
      <c r="B67">
        <v>2014</v>
      </c>
      <c r="C67" t="s">
        <v>64</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41</v>
      </c>
      <c r="B68">
        <v>2014</v>
      </c>
      <c r="C68" t="s">
        <v>65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67</v>
      </c>
      <c r="V68">
        <v>117.3</v>
      </c>
      <c r="W68">
        <v>118.1</v>
      </c>
      <c r="X68">
        <v>115.9</v>
      </c>
      <c r="Y68">
        <v>112</v>
      </c>
      <c r="Z68">
        <v>113.3</v>
      </c>
      <c r="AA68">
        <v>117.2</v>
      </c>
      <c r="AB68">
        <v>108.8</v>
      </c>
      <c r="AC68">
        <v>114.1</v>
      </c>
      <c r="AD68">
        <v>121.1</v>
      </c>
    </row>
    <row r="69" spans="1:30" x14ac:dyDescent="0.3">
      <c r="A69" t="s">
        <v>44</v>
      </c>
      <c r="B69">
        <v>2014</v>
      </c>
      <c r="C69" t="s">
        <v>65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45</v>
      </c>
      <c r="B70">
        <v>2014</v>
      </c>
      <c r="C70" t="s">
        <v>65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41</v>
      </c>
      <c r="B71">
        <v>2014</v>
      </c>
      <c r="C71" t="s">
        <v>66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67</v>
      </c>
      <c r="V71">
        <v>117.4</v>
      </c>
      <c r="W71">
        <v>118.2</v>
      </c>
      <c r="X71">
        <v>116.2</v>
      </c>
      <c r="Y71">
        <v>111.5</v>
      </c>
      <c r="Z71">
        <v>113.3</v>
      </c>
      <c r="AA71">
        <v>117.7</v>
      </c>
      <c r="AB71">
        <v>109.4</v>
      </c>
      <c r="AC71">
        <v>114.2</v>
      </c>
      <c r="AD71">
        <v>120.3</v>
      </c>
    </row>
    <row r="72" spans="1:30" x14ac:dyDescent="0.3">
      <c r="A72" t="s">
        <v>44</v>
      </c>
      <c r="B72">
        <v>2014</v>
      </c>
      <c r="C72" t="s">
        <v>66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45</v>
      </c>
      <c r="B73">
        <v>2014</v>
      </c>
      <c r="C73" t="s">
        <v>66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41</v>
      </c>
      <c r="B74">
        <v>2015</v>
      </c>
      <c r="C74" t="s">
        <v>56</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67</v>
      </c>
      <c r="V74">
        <v>118.4</v>
      </c>
      <c r="W74">
        <v>118.9</v>
      </c>
      <c r="X74">
        <v>116.6</v>
      </c>
      <c r="Y74">
        <v>111</v>
      </c>
      <c r="Z74">
        <v>114</v>
      </c>
      <c r="AA74">
        <v>118.2</v>
      </c>
      <c r="AB74">
        <v>110.2</v>
      </c>
      <c r="AC74">
        <v>114.5</v>
      </c>
      <c r="AD74">
        <v>120.3</v>
      </c>
    </row>
    <row r="75" spans="1:30" x14ac:dyDescent="0.3">
      <c r="A75" t="s">
        <v>44</v>
      </c>
      <c r="B75">
        <v>2015</v>
      </c>
      <c r="C75" t="s">
        <v>56</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45</v>
      </c>
      <c r="B76">
        <v>2015</v>
      </c>
      <c r="C76" t="s">
        <v>56</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41</v>
      </c>
      <c r="B77">
        <v>2015</v>
      </c>
      <c r="C77" t="s">
        <v>57</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67</v>
      </c>
      <c r="V77">
        <v>120</v>
      </c>
      <c r="W77">
        <v>119.6</v>
      </c>
      <c r="X77">
        <v>117.7</v>
      </c>
      <c r="Y77">
        <v>110.9</v>
      </c>
      <c r="Z77">
        <v>114.8</v>
      </c>
      <c r="AA77">
        <v>118.7</v>
      </c>
      <c r="AB77">
        <v>110.8</v>
      </c>
      <c r="AC77">
        <v>115</v>
      </c>
      <c r="AD77">
        <v>120.6</v>
      </c>
    </row>
    <row r="78" spans="1:30" x14ac:dyDescent="0.3">
      <c r="A78" t="s">
        <v>44</v>
      </c>
      <c r="B78">
        <v>2015</v>
      </c>
      <c r="C78" t="s">
        <v>57</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45</v>
      </c>
      <c r="B79">
        <v>2015</v>
      </c>
      <c r="C79" t="s">
        <v>57</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41</v>
      </c>
      <c r="B80">
        <v>2015</v>
      </c>
      <c r="C80" t="s">
        <v>58</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67</v>
      </c>
      <c r="V80">
        <v>120.6</v>
      </c>
      <c r="W80">
        <v>120.2</v>
      </c>
      <c r="X80">
        <v>118.2</v>
      </c>
      <c r="Y80">
        <v>111.6</v>
      </c>
      <c r="Z80">
        <v>115.5</v>
      </c>
      <c r="AA80">
        <v>119.4</v>
      </c>
      <c r="AB80">
        <v>110.8</v>
      </c>
      <c r="AC80">
        <v>115.5</v>
      </c>
      <c r="AD80">
        <v>121.1</v>
      </c>
    </row>
    <row r="81" spans="1:30" x14ac:dyDescent="0.3">
      <c r="A81" t="s">
        <v>44</v>
      </c>
      <c r="B81">
        <v>2015</v>
      </c>
      <c r="C81" t="s">
        <v>58</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45</v>
      </c>
      <c r="B82">
        <v>2015</v>
      </c>
      <c r="C82" t="s">
        <v>58</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41</v>
      </c>
      <c r="B83">
        <v>2015</v>
      </c>
      <c r="C83" t="s">
        <v>59</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67</v>
      </c>
      <c r="V83">
        <v>121.2</v>
      </c>
      <c r="W83">
        <v>120.9</v>
      </c>
      <c r="X83">
        <v>118.6</v>
      </c>
      <c r="Y83">
        <v>111.9</v>
      </c>
      <c r="Z83">
        <v>116.2</v>
      </c>
      <c r="AA83">
        <v>119.9</v>
      </c>
      <c r="AB83">
        <v>111.6</v>
      </c>
      <c r="AC83">
        <v>116</v>
      </c>
      <c r="AD83">
        <v>121.5</v>
      </c>
    </row>
    <row r="84" spans="1:30" x14ac:dyDescent="0.3">
      <c r="A84" t="s">
        <v>44</v>
      </c>
      <c r="B84">
        <v>2015</v>
      </c>
      <c r="C84" t="s">
        <v>59</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45</v>
      </c>
      <c r="B85">
        <v>2015</v>
      </c>
      <c r="C85" t="s">
        <v>59</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41</v>
      </c>
      <c r="B86">
        <v>2015</v>
      </c>
      <c r="C86" t="s">
        <v>42</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67</v>
      </c>
      <c r="V86">
        <v>121.9</v>
      </c>
      <c r="W86">
        <v>121.5</v>
      </c>
      <c r="X86">
        <v>119.4</v>
      </c>
      <c r="Y86">
        <v>113.3</v>
      </c>
      <c r="Z86">
        <v>116.7</v>
      </c>
      <c r="AA86">
        <v>120.5</v>
      </c>
      <c r="AB86">
        <v>112.3</v>
      </c>
      <c r="AC86">
        <v>116.9</v>
      </c>
      <c r="AD86">
        <v>122.4</v>
      </c>
    </row>
    <row r="87" spans="1:30" x14ac:dyDescent="0.3">
      <c r="A87" t="s">
        <v>44</v>
      </c>
      <c r="B87">
        <v>2015</v>
      </c>
      <c r="C87" t="s">
        <v>42</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45</v>
      </c>
      <c r="B88">
        <v>2015</v>
      </c>
      <c r="C88" t="s">
        <v>42</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41</v>
      </c>
      <c r="B89">
        <v>2015</v>
      </c>
      <c r="C89" t="s">
        <v>60</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67</v>
      </c>
      <c r="V89">
        <v>122.6</v>
      </c>
      <c r="W89">
        <v>122.8</v>
      </c>
      <c r="X89">
        <v>120.4</v>
      </c>
      <c r="Y89">
        <v>114.2</v>
      </c>
      <c r="Z89">
        <v>117.9</v>
      </c>
      <c r="AA89">
        <v>122</v>
      </c>
      <c r="AB89">
        <v>113</v>
      </c>
      <c r="AC89">
        <v>117.9</v>
      </c>
      <c r="AD89">
        <v>124.1</v>
      </c>
    </row>
    <row r="90" spans="1:30" x14ac:dyDescent="0.3">
      <c r="A90" t="s">
        <v>44</v>
      </c>
      <c r="B90">
        <v>2015</v>
      </c>
      <c r="C90" t="s">
        <v>60</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45</v>
      </c>
      <c r="B91">
        <v>2015</v>
      </c>
      <c r="C91" t="s">
        <v>60</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41</v>
      </c>
      <c r="B92">
        <v>2015</v>
      </c>
      <c r="C92" t="s">
        <v>61</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67</v>
      </c>
      <c r="V92">
        <v>123</v>
      </c>
      <c r="W92">
        <v>123</v>
      </c>
      <c r="X92">
        <v>120.8</v>
      </c>
      <c r="Y92">
        <v>114.1</v>
      </c>
      <c r="Z92">
        <v>118</v>
      </c>
      <c r="AA92">
        <v>122.9</v>
      </c>
      <c r="AB92">
        <v>112.7</v>
      </c>
      <c r="AC92">
        <v>118.1</v>
      </c>
      <c r="AD92">
        <v>124.7</v>
      </c>
    </row>
    <row r="93" spans="1:30" x14ac:dyDescent="0.3">
      <c r="A93" t="s">
        <v>44</v>
      </c>
      <c r="B93">
        <v>2015</v>
      </c>
      <c r="C93" t="s">
        <v>61</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45</v>
      </c>
      <c r="B94">
        <v>2015</v>
      </c>
      <c r="C94" t="s">
        <v>61</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41</v>
      </c>
      <c r="B95">
        <v>2015</v>
      </c>
      <c r="C95" t="s">
        <v>62</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67</v>
      </c>
      <c r="V95">
        <v>123.8</v>
      </c>
      <c r="W95">
        <v>123.7</v>
      </c>
      <c r="X95">
        <v>121.1</v>
      </c>
      <c r="Y95">
        <v>113.6</v>
      </c>
      <c r="Z95">
        <v>118.5</v>
      </c>
      <c r="AA95">
        <v>123.6</v>
      </c>
      <c r="AB95">
        <v>112.5</v>
      </c>
      <c r="AC95">
        <v>118.2</v>
      </c>
      <c r="AD95">
        <v>126.1</v>
      </c>
    </row>
    <row r="96" spans="1:30" x14ac:dyDescent="0.3">
      <c r="A96" t="s">
        <v>44</v>
      </c>
      <c r="B96">
        <v>2015</v>
      </c>
      <c r="C96" t="s">
        <v>62</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45</v>
      </c>
      <c r="B97">
        <v>2015</v>
      </c>
      <c r="C97" t="s">
        <v>62</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41</v>
      </c>
      <c r="B98">
        <v>2015</v>
      </c>
      <c r="C98" t="s">
        <v>63</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67</v>
      </c>
      <c r="V98">
        <v>123.7</v>
      </c>
      <c r="W98">
        <v>124.5</v>
      </c>
      <c r="X98">
        <v>121.4</v>
      </c>
      <c r="Y98">
        <v>113.8</v>
      </c>
      <c r="Z98">
        <v>119.6</v>
      </c>
      <c r="AA98">
        <v>124.5</v>
      </c>
      <c r="AB98">
        <v>113.7</v>
      </c>
      <c r="AC98">
        <v>118.8</v>
      </c>
      <c r="AD98">
        <v>127</v>
      </c>
    </row>
    <row r="99" spans="1:30" x14ac:dyDescent="0.3">
      <c r="A99" t="s">
        <v>44</v>
      </c>
      <c r="B99">
        <v>2015</v>
      </c>
      <c r="C99" t="s">
        <v>63</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45</v>
      </c>
      <c r="B100">
        <v>2015</v>
      </c>
      <c r="C100" t="s">
        <v>63</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41</v>
      </c>
      <c r="B101">
        <v>2015</v>
      </c>
      <c r="C101" t="s">
        <v>64</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67</v>
      </c>
      <c r="V101">
        <v>124.4</v>
      </c>
      <c r="W101">
        <v>125.1</v>
      </c>
      <c r="X101">
        <v>122</v>
      </c>
      <c r="Y101">
        <v>113.8</v>
      </c>
      <c r="Z101">
        <v>120.1</v>
      </c>
      <c r="AA101">
        <v>125.1</v>
      </c>
      <c r="AB101">
        <v>114.2</v>
      </c>
      <c r="AC101">
        <v>119.2</v>
      </c>
      <c r="AD101">
        <v>127.7</v>
      </c>
    </row>
    <row r="102" spans="1:30" x14ac:dyDescent="0.3">
      <c r="A102" t="s">
        <v>44</v>
      </c>
      <c r="B102">
        <v>2015</v>
      </c>
      <c r="C102" t="s">
        <v>64</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45</v>
      </c>
      <c r="B103">
        <v>2015</v>
      </c>
      <c r="C103" t="s">
        <v>64</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41</v>
      </c>
      <c r="B104">
        <v>2015</v>
      </c>
      <c r="C104" t="s">
        <v>65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67</v>
      </c>
      <c r="V104">
        <v>125.6</v>
      </c>
      <c r="W104">
        <v>125.6</v>
      </c>
      <c r="X104">
        <v>122.6</v>
      </c>
      <c r="Y104">
        <v>114</v>
      </c>
      <c r="Z104">
        <v>120.9</v>
      </c>
      <c r="AA104">
        <v>125.8</v>
      </c>
      <c r="AB104">
        <v>114.2</v>
      </c>
      <c r="AC104">
        <v>119.6</v>
      </c>
      <c r="AD104">
        <v>128.30000000000001</v>
      </c>
    </row>
    <row r="105" spans="1:30" x14ac:dyDescent="0.3">
      <c r="A105" t="s">
        <v>44</v>
      </c>
      <c r="B105">
        <v>2015</v>
      </c>
      <c r="C105" t="s">
        <v>65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45</v>
      </c>
      <c r="B106">
        <v>2015</v>
      </c>
      <c r="C106" t="s">
        <v>65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41</v>
      </c>
      <c r="B107">
        <v>2015</v>
      </c>
      <c r="C107" t="s">
        <v>66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67</v>
      </c>
      <c r="V107">
        <v>125.7</v>
      </c>
      <c r="W107">
        <v>126</v>
      </c>
      <c r="X107">
        <v>123.1</v>
      </c>
      <c r="Y107">
        <v>114</v>
      </c>
      <c r="Z107">
        <v>121.6</v>
      </c>
      <c r="AA107">
        <v>125.6</v>
      </c>
      <c r="AB107">
        <v>114.1</v>
      </c>
      <c r="AC107">
        <v>119.8</v>
      </c>
      <c r="AD107">
        <v>127.9</v>
      </c>
    </row>
    <row r="108" spans="1:30" x14ac:dyDescent="0.3">
      <c r="A108" t="s">
        <v>44</v>
      </c>
      <c r="B108">
        <v>2015</v>
      </c>
      <c r="C108" t="s">
        <v>66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45</v>
      </c>
      <c r="B109">
        <v>2015</v>
      </c>
      <c r="C109" t="s">
        <v>66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41</v>
      </c>
      <c r="B110">
        <v>2016</v>
      </c>
      <c r="C110" t="s">
        <v>56</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67</v>
      </c>
      <c r="V110">
        <v>126.2</v>
      </c>
      <c r="W110">
        <v>126.6</v>
      </c>
      <c r="X110">
        <v>123.7</v>
      </c>
      <c r="Y110">
        <v>113.6</v>
      </c>
      <c r="Z110">
        <v>121.4</v>
      </c>
      <c r="AA110">
        <v>126.2</v>
      </c>
      <c r="AB110">
        <v>114.9</v>
      </c>
      <c r="AC110">
        <v>120.1</v>
      </c>
      <c r="AD110">
        <v>128.1</v>
      </c>
    </row>
    <row r="111" spans="1:30" x14ac:dyDescent="0.3">
      <c r="A111" t="s">
        <v>44</v>
      </c>
      <c r="B111">
        <v>2016</v>
      </c>
      <c r="C111" t="s">
        <v>56</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45</v>
      </c>
      <c r="B112">
        <v>2016</v>
      </c>
      <c r="C112" t="s">
        <v>56</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41</v>
      </c>
      <c r="B113">
        <v>2016</v>
      </c>
      <c r="C113" t="s">
        <v>57</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67</v>
      </c>
      <c r="V113">
        <v>127.5</v>
      </c>
      <c r="W113">
        <v>127.1</v>
      </c>
      <c r="X113">
        <v>124.3</v>
      </c>
      <c r="Y113">
        <v>113.9</v>
      </c>
      <c r="Z113">
        <v>122.3</v>
      </c>
      <c r="AA113">
        <v>127.1</v>
      </c>
      <c r="AB113">
        <v>116.8</v>
      </c>
      <c r="AC113">
        <v>120.9</v>
      </c>
      <c r="AD113">
        <v>127.9</v>
      </c>
    </row>
    <row r="114" spans="1:30" x14ac:dyDescent="0.3">
      <c r="A114" t="s">
        <v>44</v>
      </c>
      <c r="B114">
        <v>2016</v>
      </c>
      <c r="C114" t="s">
        <v>57</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45</v>
      </c>
      <c r="B115">
        <v>2016</v>
      </c>
      <c r="C115" t="s">
        <v>57</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41</v>
      </c>
      <c r="B116">
        <v>2016</v>
      </c>
      <c r="C116" t="s">
        <v>58</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67</v>
      </c>
      <c r="V116">
        <v>127</v>
      </c>
      <c r="W116">
        <v>127.7</v>
      </c>
      <c r="X116">
        <v>124.8</v>
      </c>
      <c r="Y116">
        <v>113.6</v>
      </c>
      <c r="Z116">
        <v>122.5</v>
      </c>
      <c r="AA116">
        <v>127.5</v>
      </c>
      <c r="AB116">
        <v>117.4</v>
      </c>
      <c r="AC116">
        <v>121.1</v>
      </c>
      <c r="AD116">
        <v>128</v>
      </c>
    </row>
    <row r="117" spans="1:30" x14ac:dyDescent="0.3">
      <c r="A117" t="s">
        <v>44</v>
      </c>
      <c r="B117">
        <v>2016</v>
      </c>
      <c r="C117" t="s">
        <v>58</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45</v>
      </c>
      <c r="B118">
        <v>2016</v>
      </c>
      <c r="C118" t="s">
        <v>58</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41</v>
      </c>
      <c r="B119">
        <v>2016</v>
      </c>
      <c r="C119" t="s">
        <v>59</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67</v>
      </c>
      <c r="V119">
        <v>127</v>
      </c>
      <c r="W119">
        <v>128</v>
      </c>
      <c r="X119">
        <v>125.2</v>
      </c>
      <c r="Y119">
        <v>114.4</v>
      </c>
      <c r="Z119">
        <v>123.2</v>
      </c>
      <c r="AA119">
        <v>127.9</v>
      </c>
      <c r="AB119">
        <v>118.4</v>
      </c>
      <c r="AC119">
        <v>121.7</v>
      </c>
      <c r="AD119">
        <v>129</v>
      </c>
    </row>
    <row r="120" spans="1:30" x14ac:dyDescent="0.3">
      <c r="A120" t="s">
        <v>44</v>
      </c>
      <c r="B120">
        <v>2016</v>
      </c>
      <c r="C120" t="s">
        <v>59</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45</v>
      </c>
      <c r="B121">
        <v>2016</v>
      </c>
      <c r="C121" t="s">
        <v>59</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41</v>
      </c>
      <c r="B122">
        <v>2016</v>
      </c>
      <c r="C122" t="s">
        <v>42</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67</v>
      </c>
      <c r="V122">
        <v>127.4</v>
      </c>
      <c r="W122">
        <v>128.5</v>
      </c>
      <c r="X122">
        <v>125.8</v>
      </c>
      <c r="Y122">
        <v>115.1</v>
      </c>
      <c r="Z122">
        <v>123.6</v>
      </c>
      <c r="AA122">
        <v>129.1</v>
      </c>
      <c r="AB122">
        <v>119.7</v>
      </c>
      <c r="AC122">
        <v>122.5</v>
      </c>
      <c r="AD122">
        <v>130.30000000000001</v>
      </c>
    </row>
    <row r="123" spans="1:30" x14ac:dyDescent="0.3">
      <c r="A123" t="s">
        <v>44</v>
      </c>
      <c r="B123">
        <v>2016</v>
      </c>
      <c r="C123" t="s">
        <v>42</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45</v>
      </c>
      <c r="B124">
        <v>2016</v>
      </c>
      <c r="C124" t="s">
        <v>42</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41</v>
      </c>
      <c r="B125">
        <v>2016</v>
      </c>
      <c r="C125" t="s">
        <v>60</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67</v>
      </c>
      <c r="V125">
        <v>128</v>
      </c>
      <c r="W125">
        <v>129.30000000000001</v>
      </c>
      <c r="X125">
        <v>126.2</v>
      </c>
      <c r="Y125">
        <v>116.3</v>
      </c>
      <c r="Z125">
        <v>124.1</v>
      </c>
      <c r="AA125">
        <v>130.19999999999999</v>
      </c>
      <c r="AB125">
        <v>119.9</v>
      </c>
      <c r="AC125">
        <v>123.3</v>
      </c>
      <c r="AD125">
        <v>131.9</v>
      </c>
    </row>
    <row r="126" spans="1:30" x14ac:dyDescent="0.3">
      <c r="A126" t="s">
        <v>44</v>
      </c>
      <c r="B126">
        <v>2016</v>
      </c>
      <c r="C126" t="s">
        <v>60</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45</v>
      </c>
      <c r="B127">
        <v>2016</v>
      </c>
      <c r="C127" t="s">
        <v>60</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41</v>
      </c>
      <c r="B128">
        <v>2016</v>
      </c>
      <c r="C128" t="s">
        <v>61</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67</v>
      </c>
      <c r="V128">
        <v>128.19999999999999</v>
      </c>
      <c r="W128">
        <v>130</v>
      </c>
      <c r="X128">
        <v>126.7</v>
      </c>
      <c r="Y128">
        <v>116.4</v>
      </c>
      <c r="Z128">
        <v>125.2</v>
      </c>
      <c r="AA128">
        <v>130.80000000000001</v>
      </c>
      <c r="AB128">
        <v>120.9</v>
      </c>
      <c r="AC128">
        <v>123.8</v>
      </c>
      <c r="AD128">
        <v>133</v>
      </c>
    </row>
    <row r="129" spans="1:30" x14ac:dyDescent="0.3">
      <c r="A129" t="s">
        <v>44</v>
      </c>
      <c r="B129">
        <v>2016</v>
      </c>
      <c r="C129" t="s">
        <v>61</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45</v>
      </c>
      <c r="B130">
        <v>2016</v>
      </c>
      <c r="C130" t="s">
        <v>61</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41</v>
      </c>
      <c r="B131">
        <v>2016</v>
      </c>
      <c r="C131" t="s">
        <v>62</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67</v>
      </c>
      <c r="V131">
        <v>129.1</v>
      </c>
      <c r="W131">
        <v>130.6</v>
      </c>
      <c r="X131">
        <v>127</v>
      </c>
      <c r="Y131">
        <v>116</v>
      </c>
      <c r="Z131">
        <v>125.5</v>
      </c>
      <c r="AA131">
        <v>131.9</v>
      </c>
      <c r="AB131">
        <v>122</v>
      </c>
      <c r="AC131">
        <v>124.2</v>
      </c>
      <c r="AD131">
        <v>133.5</v>
      </c>
    </row>
    <row r="132" spans="1:30" x14ac:dyDescent="0.3">
      <c r="A132" t="s">
        <v>44</v>
      </c>
      <c r="B132">
        <v>2016</v>
      </c>
      <c r="C132" t="s">
        <v>62</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45</v>
      </c>
      <c r="B133">
        <v>2016</v>
      </c>
      <c r="C133" t="s">
        <v>62</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41</v>
      </c>
      <c r="B134">
        <v>2016</v>
      </c>
      <c r="C134" t="s">
        <v>63</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67</v>
      </c>
      <c r="V134">
        <v>129.69999999999999</v>
      </c>
      <c r="W134">
        <v>131.1</v>
      </c>
      <c r="X134">
        <v>127.8</v>
      </c>
      <c r="Y134">
        <v>117</v>
      </c>
      <c r="Z134">
        <v>125.7</v>
      </c>
      <c r="AA134">
        <v>132.19999999999999</v>
      </c>
      <c r="AB134">
        <v>122.8</v>
      </c>
      <c r="AC134">
        <v>124.9</v>
      </c>
      <c r="AD134">
        <v>133.4</v>
      </c>
    </row>
    <row r="135" spans="1:30" x14ac:dyDescent="0.3">
      <c r="A135" t="s">
        <v>44</v>
      </c>
      <c r="B135">
        <v>2016</v>
      </c>
      <c r="C135" t="s">
        <v>63</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45</v>
      </c>
      <c r="B136">
        <v>2016</v>
      </c>
      <c r="C136" t="s">
        <v>63</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41</v>
      </c>
      <c r="B137">
        <v>2016</v>
      </c>
      <c r="C137" t="s">
        <v>64</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67</v>
      </c>
      <c r="V137">
        <v>129.80000000000001</v>
      </c>
      <c r="W137">
        <v>131.80000000000001</v>
      </c>
      <c r="X137">
        <v>128.69999999999999</v>
      </c>
      <c r="Y137">
        <v>117.8</v>
      </c>
      <c r="Z137">
        <v>126.5</v>
      </c>
      <c r="AA137">
        <v>133</v>
      </c>
      <c r="AB137">
        <v>123</v>
      </c>
      <c r="AC137">
        <v>125.7</v>
      </c>
      <c r="AD137">
        <v>133.80000000000001</v>
      </c>
    </row>
    <row r="138" spans="1:30" x14ac:dyDescent="0.3">
      <c r="A138" t="s">
        <v>44</v>
      </c>
      <c r="B138">
        <v>2016</v>
      </c>
      <c r="C138" t="s">
        <v>64</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45</v>
      </c>
      <c r="B139">
        <v>2016</v>
      </c>
      <c r="C139" t="s">
        <v>64</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41</v>
      </c>
      <c r="B140">
        <v>2016</v>
      </c>
      <c r="C140" t="s">
        <v>65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67</v>
      </c>
      <c r="V140">
        <v>130.30000000000001</v>
      </c>
      <c r="W140">
        <v>132.1</v>
      </c>
      <c r="X140">
        <v>129.1</v>
      </c>
      <c r="Y140">
        <v>118.2</v>
      </c>
      <c r="Z140">
        <v>126.9</v>
      </c>
      <c r="AA140">
        <v>133.69999999999999</v>
      </c>
      <c r="AB140">
        <v>123.5</v>
      </c>
      <c r="AC140">
        <v>126.1</v>
      </c>
      <c r="AD140">
        <v>133.6</v>
      </c>
    </row>
    <row r="141" spans="1:30" x14ac:dyDescent="0.3">
      <c r="A141" t="s">
        <v>44</v>
      </c>
      <c r="B141">
        <v>2016</v>
      </c>
      <c r="C141" t="s">
        <v>65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45</v>
      </c>
      <c r="B142">
        <v>2016</v>
      </c>
      <c r="C142" t="s">
        <v>65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41</v>
      </c>
      <c r="B143">
        <v>2016</v>
      </c>
      <c r="C143" t="s">
        <v>66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67</v>
      </c>
      <c r="V143">
        <v>132</v>
      </c>
      <c r="W143">
        <v>132.9</v>
      </c>
      <c r="X143">
        <v>129.69999999999999</v>
      </c>
      <c r="Y143">
        <v>118.6</v>
      </c>
      <c r="Z143">
        <v>127.3</v>
      </c>
      <c r="AA143">
        <v>134.19999999999999</v>
      </c>
      <c r="AB143">
        <v>121.9</v>
      </c>
      <c r="AC143">
        <v>126.3</v>
      </c>
      <c r="AD143">
        <v>132.80000000000001</v>
      </c>
    </row>
    <row r="144" spans="1:30" x14ac:dyDescent="0.3">
      <c r="A144" t="s">
        <v>44</v>
      </c>
      <c r="B144">
        <v>2016</v>
      </c>
      <c r="C144" t="s">
        <v>66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45</v>
      </c>
      <c r="B145">
        <v>2016</v>
      </c>
      <c r="C145" t="s">
        <v>66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41</v>
      </c>
      <c r="B146">
        <v>2017</v>
      </c>
      <c r="C146" t="s">
        <v>56</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67</v>
      </c>
      <c r="V146">
        <v>132.1</v>
      </c>
      <c r="W146">
        <v>133.19999999999999</v>
      </c>
      <c r="X146">
        <v>129.9</v>
      </c>
      <c r="Y146">
        <v>119.1</v>
      </c>
      <c r="Z146">
        <v>127</v>
      </c>
      <c r="AA146">
        <v>134.6</v>
      </c>
      <c r="AB146">
        <v>122.3</v>
      </c>
      <c r="AC146">
        <v>126.6</v>
      </c>
      <c r="AD146">
        <v>132.4</v>
      </c>
    </row>
    <row r="147" spans="1:30" x14ac:dyDescent="0.3">
      <c r="A147" t="s">
        <v>44</v>
      </c>
      <c r="B147">
        <v>2017</v>
      </c>
      <c r="C147" t="s">
        <v>56</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45</v>
      </c>
      <c r="B148">
        <v>2017</v>
      </c>
      <c r="C148" t="s">
        <v>56</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41</v>
      </c>
      <c r="B149">
        <v>2017</v>
      </c>
      <c r="C149" t="s">
        <v>57</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67</v>
      </c>
      <c r="V149">
        <v>133.19999999999999</v>
      </c>
      <c r="W149">
        <v>133.6</v>
      </c>
      <c r="X149">
        <v>130.1</v>
      </c>
      <c r="Y149">
        <v>119.5</v>
      </c>
      <c r="Z149">
        <v>127.7</v>
      </c>
      <c r="AA149">
        <v>134.9</v>
      </c>
      <c r="AB149">
        <v>123.2</v>
      </c>
      <c r="AC149">
        <v>127</v>
      </c>
      <c r="AD149">
        <v>132.6</v>
      </c>
    </row>
    <row r="150" spans="1:30" x14ac:dyDescent="0.3">
      <c r="A150" t="s">
        <v>44</v>
      </c>
      <c r="B150">
        <v>2017</v>
      </c>
      <c r="C150" t="s">
        <v>57</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45</v>
      </c>
      <c r="B151">
        <v>2017</v>
      </c>
      <c r="C151" t="s">
        <v>57</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41</v>
      </c>
      <c r="B152">
        <v>2017</v>
      </c>
      <c r="C152" t="s">
        <v>58</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67</v>
      </c>
      <c r="V152">
        <v>134.19999999999999</v>
      </c>
      <c r="W152">
        <v>134.1</v>
      </c>
      <c r="X152">
        <v>130.6</v>
      </c>
      <c r="Y152">
        <v>119.8</v>
      </c>
      <c r="Z152">
        <v>128.30000000000001</v>
      </c>
      <c r="AA152">
        <v>135.19999999999999</v>
      </c>
      <c r="AB152">
        <v>123.3</v>
      </c>
      <c r="AC152">
        <v>127.4</v>
      </c>
      <c r="AD152">
        <v>132.80000000000001</v>
      </c>
    </row>
    <row r="153" spans="1:30" x14ac:dyDescent="0.3">
      <c r="A153" t="s">
        <v>44</v>
      </c>
      <c r="B153">
        <v>2017</v>
      </c>
      <c r="C153" t="s">
        <v>58</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45</v>
      </c>
      <c r="B154">
        <v>2017</v>
      </c>
      <c r="C154" t="s">
        <v>58</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41</v>
      </c>
      <c r="B155">
        <v>2017</v>
      </c>
      <c r="C155" t="s">
        <v>59</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67</v>
      </c>
      <c r="V155">
        <v>135</v>
      </c>
      <c r="W155">
        <v>134.30000000000001</v>
      </c>
      <c r="X155">
        <v>131</v>
      </c>
      <c r="Y155">
        <v>119.2</v>
      </c>
      <c r="Z155">
        <v>128.30000000000001</v>
      </c>
      <c r="AA155">
        <v>135.69999999999999</v>
      </c>
      <c r="AB155">
        <v>123.7</v>
      </c>
      <c r="AC155">
        <v>127.5</v>
      </c>
      <c r="AD155">
        <v>132.9</v>
      </c>
    </row>
    <row r="156" spans="1:30" x14ac:dyDescent="0.3">
      <c r="A156" t="s">
        <v>44</v>
      </c>
      <c r="B156">
        <v>2017</v>
      </c>
      <c r="C156" t="s">
        <v>59</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45</v>
      </c>
      <c r="B157">
        <v>2017</v>
      </c>
      <c r="C157" t="s">
        <v>59</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41</v>
      </c>
      <c r="B158">
        <v>2017</v>
      </c>
      <c r="C158" t="s">
        <v>42</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67</v>
      </c>
      <c r="V158">
        <v>135</v>
      </c>
      <c r="W158">
        <v>134.9</v>
      </c>
      <c r="X158">
        <v>131.4</v>
      </c>
      <c r="Y158">
        <v>119.4</v>
      </c>
      <c r="Z158">
        <v>129.4</v>
      </c>
      <c r="AA158">
        <v>136.30000000000001</v>
      </c>
      <c r="AB158">
        <v>123.7</v>
      </c>
      <c r="AC158">
        <v>127.9</v>
      </c>
      <c r="AD158">
        <v>133.30000000000001</v>
      </c>
    </row>
    <row r="159" spans="1:30" x14ac:dyDescent="0.3">
      <c r="A159" t="s">
        <v>44</v>
      </c>
      <c r="B159">
        <v>2017</v>
      </c>
      <c r="C159" t="s">
        <v>42</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45</v>
      </c>
      <c r="B160">
        <v>2017</v>
      </c>
      <c r="C160" t="s">
        <v>42</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41</v>
      </c>
      <c r="B161">
        <v>2017</v>
      </c>
      <c r="C161" t="s">
        <v>60</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67</v>
      </c>
      <c r="V161">
        <v>134.80000000000001</v>
      </c>
      <c r="W161">
        <v>135.19999999999999</v>
      </c>
      <c r="X161">
        <v>131.30000000000001</v>
      </c>
      <c r="Y161">
        <v>119.4</v>
      </c>
      <c r="Z161">
        <v>129.80000000000001</v>
      </c>
      <c r="AA161">
        <v>136.9</v>
      </c>
      <c r="AB161">
        <v>124.1</v>
      </c>
      <c r="AC161">
        <v>128.1</v>
      </c>
      <c r="AD161">
        <v>133.9</v>
      </c>
    </row>
    <row r="162" spans="1:30" x14ac:dyDescent="0.3">
      <c r="A162" t="s">
        <v>44</v>
      </c>
      <c r="B162">
        <v>2017</v>
      </c>
      <c r="C162" t="s">
        <v>60</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45</v>
      </c>
      <c r="B163">
        <v>2017</v>
      </c>
      <c r="C163" t="s">
        <v>60</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41</v>
      </c>
      <c r="B164">
        <v>2017</v>
      </c>
      <c r="C164" t="s">
        <v>61</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67</v>
      </c>
      <c r="V164">
        <v>135.30000000000001</v>
      </c>
      <c r="W164">
        <v>136.1</v>
      </c>
      <c r="X164">
        <v>132.1</v>
      </c>
      <c r="Y164">
        <v>119.1</v>
      </c>
      <c r="Z164">
        <v>130.6</v>
      </c>
      <c r="AA164">
        <v>138.6</v>
      </c>
      <c r="AB164">
        <v>124.4</v>
      </c>
      <c r="AC164">
        <v>128.6</v>
      </c>
      <c r="AD164">
        <v>136.19999999999999</v>
      </c>
    </row>
    <row r="165" spans="1:30" x14ac:dyDescent="0.3">
      <c r="A165" t="s">
        <v>44</v>
      </c>
      <c r="B165">
        <v>2017</v>
      </c>
      <c r="C165" t="s">
        <v>61</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45</v>
      </c>
      <c r="B166">
        <v>2017</v>
      </c>
      <c r="C166" t="s">
        <v>61</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41</v>
      </c>
      <c r="B167">
        <v>2017</v>
      </c>
      <c r="C167" t="s">
        <v>62</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67</v>
      </c>
      <c r="V167">
        <v>136.4</v>
      </c>
      <c r="W167">
        <v>137.30000000000001</v>
      </c>
      <c r="X167">
        <v>133</v>
      </c>
      <c r="Y167">
        <v>120.3</v>
      </c>
      <c r="Z167">
        <v>131.5</v>
      </c>
      <c r="AA167">
        <v>140.19999999999999</v>
      </c>
      <c r="AB167">
        <v>125.4</v>
      </c>
      <c r="AC167">
        <v>129.69999999999999</v>
      </c>
      <c r="AD167">
        <v>137.80000000000001</v>
      </c>
    </row>
    <row r="168" spans="1:30" x14ac:dyDescent="0.3">
      <c r="A168" t="s">
        <v>44</v>
      </c>
      <c r="B168">
        <v>2017</v>
      </c>
      <c r="C168" t="s">
        <v>62</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45</v>
      </c>
      <c r="B169">
        <v>2017</v>
      </c>
      <c r="C169" t="s">
        <v>62</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41</v>
      </c>
      <c r="B170">
        <v>2017</v>
      </c>
      <c r="C170" t="s">
        <v>63</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67</v>
      </c>
      <c r="V170">
        <v>137.4</v>
      </c>
      <c r="W170">
        <v>137.9</v>
      </c>
      <c r="X170">
        <v>133.4</v>
      </c>
      <c r="Y170">
        <v>121.2</v>
      </c>
      <c r="Z170">
        <v>132.30000000000001</v>
      </c>
      <c r="AA170">
        <v>139.6</v>
      </c>
      <c r="AB170">
        <v>126.7</v>
      </c>
      <c r="AC170">
        <v>130.30000000000001</v>
      </c>
      <c r="AD170">
        <v>137.6</v>
      </c>
    </row>
    <row r="171" spans="1:30" x14ac:dyDescent="0.3">
      <c r="A171" t="s">
        <v>44</v>
      </c>
      <c r="B171">
        <v>2017</v>
      </c>
      <c r="C171" t="s">
        <v>63</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45</v>
      </c>
      <c r="B172">
        <v>2017</v>
      </c>
      <c r="C172" t="s">
        <v>63</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41</v>
      </c>
      <c r="B173">
        <v>2017</v>
      </c>
      <c r="C173" t="s">
        <v>64</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67</v>
      </c>
      <c r="V173">
        <v>138.1</v>
      </c>
      <c r="W173">
        <v>138.4</v>
      </c>
      <c r="X173">
        <v>134.19999999999999</v>
      </c>
      <c r="Y173">
        <v>121</v>
      </c>
      <c r="Z173">
        <v>133</v>
      </c>
      <c r="AA173">
        <v>140.1</v>
      </c>
      <c r="AB173">
        <v>127.4</v>
      </c>
      <c r="AC173">
        <v>130.69999999999999</v>
      </c>
      <c r="AD173">
        <v>138.30000000000001</v>
      </c>
    </row>
    <row r="174" spans="1:30" x14ac:dyDescent="0.3">
      <c r="A174" t="s">
        <v>44</v>
      </c>
      <c r="B174">
        <v>2017</v>
      </c>
      <c r="C174" t="s">
        <v>64</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45</v>
      </c>
      <c r="B175">
        <v>2017</v>
      </c>
      <c r="C175" t="s">
        <v>64</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41</v>
      </c>
      <c r="B176">
        <v>2017</v>
      </c>
      <c r="C176" t="s">
        <v>65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67</v>
      </c>
      <c r="V176">
        <v>141.1</v>
      </c>
      <c r="W176">
        <v>139.4</v>
      </c>
      <c r="X176">
        <v>135.80000000000001</v>
      </c>
      <c r="Y176">
        <v>121.6</v>
      </c>
      <c r="Z176">
        <v>133.69999999999999</v>
      </c>
      <c r="AA176">
        <v>141.5</v>
      </c>
      <c r="AB176">
        <v>128.1</v>
      </c>
      <c r="AC176">
        <v>131.69999999999999</v>
      </c>
      <c r="AD176">
        <v>140</v>
      </c>
    </row>
    <row r="177" spans="1:30" x14ac:dyDescent="0.3">
      <c r="A177" t="s">
        <v>44</v>
      </c>
      <c r="B177">
        <v>2017</v>
      </c>
      <c r="C177" t="s">
        <v>65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45</v>
      </c>
      <c r="B178">
        <v>2017</v>
      </c>
      <c r="C178" t="s">
        <v>65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41</v>
      </c>
      <c r="B179">
        <v>2017</v>
      </c>
      <c r="C179" t="s">
        <v>66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67</v>
      </c>
      <c r="V179">
        <v>142.6</v>
      </c>
      <c r="W179">
        <v>139.5</v>
      </c>
      <c r="X179">
        <v>136.1</v>
      </c>
      <c r="Y179">
        <v>122</v>
      </c>
      <c r="Z179">
        <v>133.4</v>
      </c>
      <c r="AA179">
        <v>141.1</v>
      </c>
      <c r="AB179">
        <v>127.8</v>
      </c>
      <c r="AC179">
        <v>131.9</v>
      </c>
      <c r="AD179">
        <v>139.80000000000001</v>
      </c>
    </row>
    <row r="180" spans="1:30" x14ac:dyDescent="0.3">
      <c r="A180" t="s">
        <v>44</v>
      </c>
      <c r="B180">
        <v>2017</v>
      </c>
      <c r="C180" t="s">
        <v>66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45</v>
      </c>
      <c r="B181">
        <v>2017</v>
      </c>
      <c r="C181" t="s">
        <v>66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41</v>
      </c>
      <c r="B182">
        <v>2018</v>
      </c>
      <c r="C182" t="s">
        <v>56</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67</v>
      </c>
      <c r="V182">
        <v>142.30000000000001</v>
      </c>
      <c r="W182">
        <v>139.80000000000001</v>
      </c>
      <c r="X182">
        <v>136</v>
      </c>
      <c r="Y182">
        <v>122.7</v>
      </c>
      <c r="Z182">
        <v>134.30000000000001</v>
      </c>
      <c r="AA182">
        <v>141.6</v>
      </c>
      <c r="AB182">
        <v>128.6</v>
      </c>
      <c r="AC182">
        <v>132.30000000000001</v>
      </c>
      <c r="AD182">
        <v>139.30000000000001</v>
      </c>
    </row>
    <row r="183" spans="1:30" x14ac:dyDescent="0.3">
      <c r="A183" t="s">
        <v>44</v>
      </c>
      <c r="B183">
        <v>2018</v>
      </c>
      <c r="C183" t="s">
        <v>56</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45</v>
      </c>
      <c r="B184">
        <v>2018</v>
      </c>
      <c r="C184" t="s">
        <v>56</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41</v>
      </c>
      <c r="B185">
        <v>2018</v>
      </c>
      <c r="C185" t="s">
        <v>57</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67</v>
      </c>
      <c r="V185">
        <v>142.4</v>
      </c>
      <c r="W185">
        <v>139.9</v>
      </c>
      <c r="X185">
        <v>136.19999999999999</v>
      </c>
      <c r="Y185">
        <v>123.3</v>
      </c>
      <c r="Z185">
        <v>134.30000000000001</v>
      </c>
      <c r="AA185">
        <v>141.5</v>
      </c>
      <c r="AB185">
        <v>128.80000000000001</v>
      </c>
      <c r="AC185">
        <v>132.5</v>
      </c>
      <c r="AD185">
        <v>138.5</v>
      </c>
    </row>
    <row r="186" spans="1:30" x14ac:dyDescent="0.3">
      <c r="A186" t="s">
        <v>44</v>
      </c>
      <c r="B186">
        <v>2018</v>
      </c>
      <c r="C186" t="s">
        <v>57</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45</v>
      </c>
      <c r="B187">
        <v>2018</v>
      </c>
      <c r="C187" t="s">
        <v>57</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41</v>
      </c>
      <c r="B188">
        <v>2018</v>
      </c>
      <c r="C188" t="s">
        <v>58</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67</v>
      </c>
      <c r="V188">
        <v>142.6</v>
      </c>
      <c r="W188">
        <v>139.9</v>
      </c>
      <c r="X188">
        <v>136.69999999999999</v>
      </c>
      <c r="Y188">
        <v>124.6</v>
      </c>
      <c r="Z188">
        <v>135.1</v>
      </c>
      <c r="AA188">
        <v>142.69999999999999</v>
      </c>
      <c r="AB188">
        <v>129.30000000000001</v>
      </c>
      <c r="AC188">
        <v>133.30000000000001</v>
      </c>
      <c r="AD188">
        <v>138.69999999999999</v>
      </c>
    </row>
    <row r="189" spans="1:30" x14ac:dyDescent="0.3">
      <c r="A189" t="s">
        <v>44</v>
      </c>
      <c r="B189">
        <v>2018</v>
      </c>
      <c r="C189" t="s">
        <v>58</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45</v>
      </c>
      <c r="B190">
        <v>2018</v>
      </c>
      <c r="C190" t="s">
        <v>58</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41</v>
      </c>
      <c r="B191">
        <v>2018</v>
      </c>
      <c r="C191" t="s">
        <v>59</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67</v>
      </c>
      <c r="V191">
        <v>143.80000000000001</v>
      </c>
      <c r="W191">
        <v>140.9</v>
      </c>
      <c r="X191">
        <v>137.6</v>
      </c>
      <c r="Y191">
        <v>125.3</v>
      </c>
      <c r="Z191">
        <v>136</v>
      </c>
      <c r="AA191">
        <v>143.69999999999999</v>
      </c>
      <c r="AB191">
        <v>130.4</v>
      </c>
      <c r="AC191">
        <v>134.19999999999999</v>
      </c>
      <c r="AD191">
        <v>139.1</v>
      </c>
    </row>
    <row r="192" spans="1:30" x14ac:dyDescent="0.3">
      <c r="A192" t="s">
        <v>44</v>
      </c>
      <c r="B192">
        <v>2018</v>
      </c>
      <c r="C192" t="s">
        <v>59</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45</v>
      </c>
      <c r="B193">
        <v>2018</v>
      </c>
      <c r="C193" t="s">
        <v>59</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41</v>
      </c>
      <c r="B194">
        <v>2018</v>
      </c>
      <c r="C194" t="s">
        <v>42</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67</v>
      </c>
      <c r="V194">
        <v>144.30000000000001</v>
      </c>
      <c r="W194">
        <v>141.80000000000001</v>
      </c>
      <c r="X194">
        <v>138.4</v>
      </c>
      <c r="Y194">
        <v>126.4</v>
      </c>
      <c r="Z194">
        <v>136.80000000000001</v>
      </c>
      <c r="AA194">
        <v>144.4</v>
      </c>
      <c r="AB194">
        <v>131.19999999999999</v>
      </c>
      <c r="AC194">
        <v>135.1</v>
      </c>
      <c r="AD194">
        <v>139.80000000000001</v>
      </c>
    </row>
    <row r="195" spans="1:30" x14ac:dyDescent="0.3">
      <c r="A195" t="s">
        <v>44</v>
      </c>
      <c r="B195">
        <v>2018</v>
      </c>
      <c r="C195" t="s">
        <v>42</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45</v>
      </c>
      <c r="B196">
        <v>2018</v>
      </c>
      <c r="C196" t="s">
        <v>42</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41</v>
      </c>
      <c r="B197">
        <v>2018</v>
      </c>
      <c r="C197" t="s">
        <v>60</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67</v>
      </c>
      <c r="V197">
        <v>145.1</v>
      </c>
      <c r="W197">
        <v>142.19999999999999</v>
      </c>
      <c r="X197">
        <v>138.4</v>
      </c>
      <c r="Y197">
        <v>127.4</v>
      </c>
      <c r="Z197">
        <v>137.80000000000001</v>
      </c>
      <c r="AA197">
        <v>145.1</v>
      </c>
      <c r="AB197">
        <v>131.4</v>
      </c>
      <c r="AC197">
        <v>135.6</v>
      </c>
      <c r="AD197">
        <v>140.5</v>
      </c>
    </row>
    <row r="198" spans="1:30" x14ac:dyDescent="0.3">
      <c r="A198" t="s">
        <v>44</v>
      </c>
      <c r="B198">
        <v>2018</v>
      </c>
      <c r="C198" t="s">
        <v>60</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45</v>
      </c>
      <c r="B199">
        <v>2018</v>
      </c>
      <c r="C199" t="s">
        <v>60</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41</v>
      </c>
      <c r="B200">
        <v>2018</v>
      </c>
      <c r="C200" t="s">
        <v>61</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67</v>
      </c>
      <c r="V200">
        <v>146.80000000000001</v>
      </c>
      <c r="W200">
        <v>143.1</v>
      </c>
      <c r="X200">
        <v>139</v>
      </c>
      <c r="Y200">
        <v>127.5</v>
      </c>
      <c r="Z200">
        <v>138.4</v>
      </c>
      <c r="AA200">
        <v>145.80000000000001</v>
      </c>
      <c r="AB200">
        <v>131.4</v>
      </c>
      <c r="AC200">
        <v>136</v>
      </c>
      <c r="AD200">
        <v>141.80000000000001</v>
      </c>
    </row>
    <row r="201" spans="1:30" x14ac:dyDescent="0.3">
      <c r="A201" t="s">
        <v>44</v>
      </c>
      <c r="B201">
        <v>2018</v>
      </c>
      <c r="C201" t="s">
        <v>61</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45</v>
      </c>
      <c r="B202">
        <v>2018</v>
      </c>
      <c r="C202" t="s">
        <v>61</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41</v>
      </c>
      <c r="B203">
        <v>2018</v>
      </c>
      <c r="C203" t="s">
        <v>62</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67</v>
      </c>
      <c r="V203">
        <v>147.69999999999999</v>
      </c>
      <c r="W203">
        <v>143.80000000000001</v>
      </c>
      <c r="X203">
        <v>139.4</v>
      </c>
      <c r="Y203">
        <v>128.30000000000001</v>
      </c>
      <c r="Z203">
        <v>138.6</v>
      </c>
      <c r="AA203">
        <v>146.9</v>
      </c>
      <c r="AB203">
        <v>131.30000000000001</v>
      </c>
      <c r="AC203">
        <v>136.6</v>
      </c>
      <c r="AD203">
        <v>142.5</v>
      </c>
    </row>
    <row r="204" spans="1:30" x14ac:dyDescent="0.3">
      <c r="A204" t="s">
        <v>44</v>
      </c>
      <c r="B204">
        <v>2018</v>
      </c>
      <c r="C204" t="s">
        <v>62</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45</v>
      </c>
      <c r="B205">
        <v>2018</v>
      </c>
      <c r="C205" t="s">
        <v>62</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41</v>
      </c>
      <c r="B206">
        <v>2018</v>
      </c>
      <c r="C206" t="s">
        <v>63</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67</v>
      </c>
      <c r="V206">
        <v>149</v>
      </c>
      <c r="W206">
        <v>144</v>
      </c>
      <c r="X206">
        <v>140</v>
      </c>
      <c r="Y206">
        <v>129.9</v>
      </c>
      <c r="Z206">
        <v>140</v>
      </c>
      <c r="AA206">
        <v>147.6</v>
      </c>
      <c r="AB206">
        <v>132</v>
      </c>
      <c r="AC206">
        <v>137.4</v>
      </c>
      <c r="AD206">
        <v>142.1</v>
      </c>
    </row>
    <row r="207" spans="1:30" x14ac:dyDescent="0.3">
      <c r="A207" t="s">
        <v>44</v>
      </c>
      <c r="B207">
        <v>2018</v>
      </c>
      <c r="C207" t="s">
        <v>63</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45</v>
      </c>
      <c r="B208">
        <v>2018</v>
      </c>
      <c r="C208" t="s">
        <v>63</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41</v>
      </c>
      <c r="B209">
        <v>2018</v>
      </c>
      <c r="C209" t="s">
        <v>64</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67</v>
      </c>
      <c r="V209">
        <v>149.69999999999999</v>
      </c>
      <c r="W209">
        <v>147.5</v>
      </c>
      <c r="X209">
        <v>144.80000000000001</v>
      </c>
      <c r="Y209">
        <v>130.80000000000001</v>
      </c>
      <c r="Z209">
        <v>140.1</v>
      </c>
      <c r="AA209">
        <v>148</v>
      </c>
      <c r="AB209">
        <v>134.4</v>
      </c>
      <c r="AC209">
        <v>139.80000000000001</v>
      </c>
      <c r="AD209">
        <v>142.19999999999999</v>
      </c>
    </row>
    <row r="210" spans="1:30" x14ac:dyDescent="0.3">
      <c r="A210" t="s">
        <v>44</v>
      </c>
      <c r="B210">
        <v>2018</v>
      </c>
      <c r="C210" t="s">
        <v>64</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45</v>
      </c>
      <c r="B211">
        <v>2018</v>
      </c>
      <c r="C211" t="s">
        <v>64</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41</v>
      </c>
      <c r="B212">
        <v>2018</v>
      </c>
      <c r="C212" t="s">
        <v>65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67</v>
      </c>
      <c r="V212">
        <v>150.30000000000001</v>
      </c>
      <c r="W212">
        <v>148</v>
      </c>
      <c r="X212">
        <v>145.4</v>
      </c>
      <c r="Y212">
        <v>130.30000000000001</v>
      </c>
      <c r="Z212">
        <v>143.1</v>
      </c>
      <c r="AA212">
        <v>150.19999999999999</v>
      </c>
      <c r="AB212">
        <v>133.1</v>
      </c>
      <c r="AC212">
        <v>140.1</v>
      </c>
      <c r="AD212">
        <v>142.4</v>
      </c>
    </row>
    <row r="213" spans="1:30" x14ac:dyDescent="0.3">
      <c r="A213" t="s">
        <v>44</v>
      </c>
      <c r="B213">
        <v>2018</v>
      </c>
      <c r="C213" t="s">
        <v>65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45</v>
      </c>
      <c r="B214">
        <v>2018</v>
      </c>
      <c r="C214" t="s">
        <v>65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41</v>
      </c>
      <c r="B215">
        <v>2018</v>
      </c>
      <c r="C215" t="s">
        <v>66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67</v>
      </c>
      <c r="V215">
        <v>149</v>
      </c>
      <c r="W215">
        <v>149.5</v>
      </c>
      <c r="X215">
        <v>149.6</v>
      </c>
      <c r="Y215">
        <v>128.9</v>
      </c>
      <c r="Z215">
        <v>143.30000000000001</v>
      </c>
      <c r="AA215">
        <v>155.1</v>
      </c>
      <c r="AB215">
        <v>133.19999999999999</v>
      </c>
      <c r="AC215">
        <v>141.6</v>
      </c>
      <c r="AD215">
        <v>141.9</v>
      </c>
    </row>
    <row r="216" spans="1:30" x14ac:dyDescent="0.3">
      <c r="A216" t="s">
        <v>44</v>
      </c>
      <c r="B216">
        <v>2018</v>
      </c>
      <c r="C216" t="s">
        <v>66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45</v>
      </c>
      <c r="B217">
        <v>2018</v>
      </c>
      <c r="C217" t="s">
        <v>66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41</v>
      </c>
      <c r="B218">
        <v>2019</v>
      </c>
      <c r="C218" t="s">
        <v>56</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67</v>
      </c>
      <c r="V218">
        <v>146.19999999999999</v>
      </c>
      <c r="W218">
        <v>150.1</v>
      </c>
      <c r="X218">
        <v>149.6</v>
      </c>
      <c r="Y218">
        <v>128.6</v>
      </c>
      <c r="Z218">
        <v>142.9</v>
      </c>
      <c r="AA218">
        <v>155.19999999999999</v>
      </c>
      <c r="AB218">
        <v>133.5</v>
      </c>
      <c r="AC218">
        <v>141.69999999999999</v>
      </c>
      <c r="AD218">
        <v>141</v>
      </c>
    </row>
    <row r="219" spans="1:30" x14ac:dyDescent="0.3">
      <c r="A219" t="s">
        <v>44</v>
      </c>
      <c r="B219">
        <v>2019</v>
      </c>
      <c r="C219" t="s">
        <v>56</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45</v>
      </c>
      <c r="B220">
        <v>2019</v>
      </c>
      <c r="C220" t="s">
        <v>56</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41</v>
      </c>
      <c r="B221">
        <v>2019</v>
      </c>
      <c r="C221" t="s">
        <v>57</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67</v>
      </c>
      <c r="V221">
        <v>145.30000000000001</v>
      </c>
      <c r="W221">
        <v>150.1</v>
      </c>
      <c r="X221">
        <v>149.9</v>
      </c>
      <c r="Y221">
        <v>129.19999999999999</v>
      </c>
      <c r="Z221">
        <v>143.4</v>
      </c>
      <c r="AA221">
        <v>155.5</v>
      </c>
      <c r="AB221">
        <v>134.9</v>
      </c>
      <c r="AC221">
        <v>142.19999999999999</v>
      </c>
      <c r="AD221">
        <v>141</v>
      </c>
    </row>
    <row r="222" spans="1:30" x14ac:dyDescent="0.3">
      <c r="A222" t="s">
        <v>44</v>
      </c>
      <c r="B222">
        <v>2019</v>
      </c>
      <c r="C222" t="s">
        <v>57</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45</v>
      </c>
      <c r="B223">
        <v>2019</v>
      </c>
      <c r="C223" t="s">
        <v>57</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41</v>
      </c>
      <c r="B224">
        <v>2019</v>
      </c>
      <c r="C224" t="s">
        <v>58</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67</v>
      </c>
      <c r="V224">
        <v>146.4</v>
      </c>
      <c r="W224">
        <v>150</v>
      </c>
      <c r="X224">
        <v>150.4</v>
      </c>
      <c r="Y224">
        <v>129.9</v>
      </c>
      <c r="Z224">
        <v>143.80000000000001</v>
      </c>
      <c r="AA224">
        <v>155.5</v>
      </c>
      <c r="AB224">
        <v>134</v>
      </c>
      <c r="AC224">
        <v>142.4</v>
      </c>
      <c r="AD224">
        <v>141.19999999999999</v>
      </c>
    </row>
    <row r="225" spans="1:30" x14ac:dyDescent="0.3">
      <c r="A225" t="s">
        <v>44</v>
      </c>
      <c r="B225">
        <v>2019</v>
      </c>
      <c r="C225" t="s">
        <v>58</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45</v>
      </c>
      <c r="B226">
        <v>2019</v>
      </c>
      <c r="C226" t="s">
        <v>58</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s="14" t="s">
        <v>41</v>
      </c>
      <c r="B227" s="14">
        <v>2019</v>
      </c>
      <c r="C227" s="14" t="s">
        <v>59</v>
      </c>
      <c r="D227" s="59">
        <v>137.31666666666669</v>
      </c>
      <c r="E227" s="14">
        <v>153</v>
      </c>
      <c r="F227" s="14">
        <v>140.30000000000001</v>
      </c>
      <c r="G227" s="14">
        <v>142.30000000000001</v>
      </c>
      <c r="H227" s="14">
        <v>122</v>
      </c>
      <c r="I227" s="14">
        <v>137.6</v>
      </c>
      <c r="J227" s="14">
        <v>132.6</v>
      </c>
      <c r="K227" s="14">
        <v>121.8</v>
      </c>
      <c r="L227" s="14">
        <v>109</v>
      </c>
      <c r="M227" s="14">
        <v>139.5</v>
      </c>
      <c r="N227" s="14">
        <v>133.69999999999999</v>
      </c>
      <c r="O227" s="14">
        <v>155.19999999999999</v>
      </c>
      <c r="P227" s="14">
        <v>138.1</v>
      </c>
      <c r="Q227" s="14">
        <v>163.5</v>
      </c>
      <c r="R227" s="14">
        <v>147.9</v>
      </c>
      <c r="S227" s="14">
        <v>139.9</v>
      </c>
      <c r="T227" s="14">
        <v>146.69999999999999</v>
      </c>
      <c r="U227" s="14">
        <v>149</v>
      </c>
      <c r="V227" s="14">
        <v>139.69999999999999</v>
      </c>
      <c r="W227" s="14">
        <v>143.80000000000001</v>
      </c>
      <c r="X227" s="14">
        <v>146.19999999999999</v>
      </c>
      <c r="Y227" s="14">
        <v>124.6</v>
      </c>
      <c r="Z227" s="14">
        <v>137.69999999999999</v>
      </c>
      <c r="AA227" s="14">
        <v>150.30000000000001</v>
      </c>
      <c r="AB227" s="14">
        <v>133.4</v>
      </c>
      <c r="AC227" s="14">
        <v>137.69999999999999</v>
      </c>
      <c r="AD227" s="14">
        <v>140.4</v>
      </c>
    </row>
    <row r="228" spans="1:30" x14ac:dyDescent="0.3">
      <c r="A228" s="14" t="s">
        <v>44</v>
      </c>
      <c r="B228" s="14">
        <v>2019</v>
      </c>
      <c r="C228" s="14" t="s">
        <v>59</v>
      </c>
      <c r="D228" s="59">
        <v>139.98333333333335</v>
      </c>
      <c r="E228" s="14">
        <v>153</v>
      </c>
      <c r="F228" s="14">
        <v>140.30000000000001</v>
      </c>
      <c r="G228" s="14">
        <v>142.30000000000001</v>
      </c>
      <c r="H228" s="14">
        <v>122</v>
      </c>
      <c r="I228" s="14">
        <v>137.6</v>
      </c>
      <c r="J228" s="14">
        <v>132.6</v>
      </c>
      <c r="K228" s="14">
        <v>121.8</v>
      </c>
      <c r="L228" s="14">
        <v>109</v>
      </c>
      <c r="M228" s="14">
        <v>139.5</v>
      </c>
      <c r="N228" s="14">
        <v>133.69999999999999</v>
      </c>
      <c r="O228" s="14">
        <v>155.19999999999999</v>
      </c>
      <c r="P228" s="14">
        <v>138.1</v>
      </c>
      <c r="Q228" s="14">
        <v>163.5</v>
      </c>
      <c r="R228" s="14">
        <v>147.9</v>
      </c>
      <c r="S228" s="14">
        <v>139.9</v>
      </c>
      <c r="T228" s="14">
        <v>146.69999999999999</v>
      </c>
      <c r="U228" s="14">
        <v>149</v>
      </c>
      <c r="V228" s="14">
        <v>139.69999999999999</v>
      </c>
      <c r="W228" s="14">
        <v>143.80000000000001</v>
      </c>
      <c r="X228" s="14">
        <v>146.19999999999999</v>
      </c>
      <c r="Y228" s="14">
        <v>124.6</v>
      </c>
      <c r="Z228" s="14">
        <v>137.69999999999999</v>
      </c>
      <c r="AA228" s="14">
        <v>150.30000000000001</v>
      </c>
      <c r="AB228" s="14">
        <v>133.4</v>
      </c>
      <c r="AC228" s="14">
        <v>137.69999999999999</v>
      </c>
      <c r="AD228" s="14">
        <v>140.4</v>
      </c>
    </row>
    <row r="229" spans="1:30" x14ac:dyDescent="0.3">
      <c r="A229" s="14" t="s">
        <v>45</v>
      </c>
      <c r="B229" s="14">
        <v>2019</v>
      </c>
      <c r="C229" s="14" t="s">
        <v>59</v>
      </c>
      <c r="D229" s="59">
        <v>138.13333333333333</v>
      </c>
      <c r="E229" s="14">
        <v>153</v>
      </c>
      <c r="F229" s="14">
        <v>140.30000000000001</v>
      </c>
      <c r="G229" s="14">
        <v>142.30000000000001</v>
      </c>
      <c r="H229" s="14">
        <v>122</v>
      </c>
      <c r="I229" s="14">
        <v>137.6</v>
      </c>
      <c r="J229" s="14">
        <v>132.6</v>
      </c>
      <c r="K229" s="14">
        <v>121.8</v>
      </c>
      <c r="L229" s="14">
        <v>109</v>
      </c>
      <c r="M229" s="14">
        <v>139.5</v>
      </c>
      <c r="N229" s="14">
        <v>133.69999999999999</v>
      </c>
      <c r="O229" s="14">
        <v>155.19999999999999</v>
      </c>
      <c r="P229" s="14">
        <v>138.1</v>
      </c>
      <c r="Q229" s="14">
        <v>163.5</v>
      </c>
      <c r="R229" s="14">
        <v>147.9</v>
      </c>
      <c r="S229" s="14">
        <v>139.9</v>
      </c>
      <c r="T229" s="14">
        <v>146.69999999999999</v>
      </c>
      <c r="U229" s="14">
        <v>149</v>
      </c>
      <c r="V229" s="14">
        <v>139.69999999999999</v>
      </c>
      <c r="W229" s="14">
        <v>143.80000000000001</v>
      </c>
      <c r="X229" s="14">
        <v>146.19999999999999</v>
      </c>
      <c r="Y229" s="14">
        <v>124.6</v>
      </c>
      <c r="Z229" s="14">
        <v>137.69999999999999</v>
      </c>
      <c r="AA229" s="14">
        <v>150.30000000000001</v>
      </c>
      <c r="AB229" s="14">
        <v>133.4</v>
      </c>
      <c r="AC229" s="14">
        <v>137.69999999999999</v>
      </c>
      <c r="AD229" s="14">
        <v>140.4</v>
      </c>
    </row>
    <row r="230" spans="1:30" x14ac:dyDescent="0.3">
      <c r="A230" t="s">
        <v>41</v>
      </c>
      <c r="B230">
        <v>2019</v>
      </c>
      <c r="C230" t="s">
        <v>42</v>
      </c>
      <c r="D230">
        <v>137.4</v>
      </c>
      <c r="E230">
        <v>159.5</v>
      </c>
      <c r="F230">
        <v>134.5</v>
      </c>
      <c r="G230">
        <v>142.6</v>
      </c>
      <c r="H230">
        <v>124</v>
      </c>
      <c r="I230">
        <v>143.69999999999999</v>
      </c>
      <c r="J230">
        <v>133.4</v>
      </c>
      <c r="K230">
        <v>125.1</v>
      </c>
      <c r="L230">
        <v>109.3</v>
      </c>
      <c r="M230">
        <v>139.30000000000001</v>
      </c>
      <c r="N230">
        <v>137.69999999999999</v>
      </c>
      <c r="O230">
        <v>156.4</v>
      </c>
      <c r="P230">
        <v>139.19999999999999</v>
      </c>
      <c r="Q230">
        <v>163.30000000000001</v>
      </c>
      <c r="R230">
        <v>151.30000000000001</v>
      </c>
      <c r="S230">
        <v>146.6</v>
      </c>
      <c r="T230">
        <v>150.69999999999999</v>
      </c>
      <c r="U230" t="s">
        <v>67</v>
      </c>
      <c r="V230">
        <v>146.9</v>
      </c>
      <c r="W230">
        <v>149.5</v>
      </c>
      <c r="X230">
        <v>151.30000000000001</v>
      </c>
      <c r="Y230">
        <v>130.19999999999999</v>
      </c>
      <c r="Z230">
        <v>145.9</v>
      </c>
      <c r="AA230">
        <v>156.69999999999999</v>
      </c>
      <c r="AB230">
        <v>133.9</v>
      </c>
      <c r="AC230">
        <v>142.9</v>
      </c>
      <c r="AD230">
        <v>142.4</v>
      </c>
    </row>
    <row r="231" spans="1:30" x14ac:dyDescent="0.3">
      <c r="A231" t="s">
        <v>44</v>
      </c>
      <c r="B231">
        <v>2019</v>
      </c>
      <c r="C231" t="s">
        <v>42</v>
      </c>
      <c r="D231">
        <v>140.4</v>
      </c>
      <c r="E231">
        <v>156.69999999999999</v>
      </c>
      <c r="F231">
        <v>138.30000000000001</v>
      </c>
      <c r="G231">
        <v>142.4</v>
      </c>
      <c r="H231">
        <v>118.6</v>
      </c>
      <c r="I231">
        <v>149.69999999999999</v>
      </c>
      <c r="J231">
        <v>161.6</v>
      </c>
      <c r="K231">
        <v>124.4</v>
      </c>
      <c r="L231">
        <v>111.2</v>
      </c>
      <c r="M231">
        <v>141</v>
      </c>
      <c r="N231">
        <v>128.9</v>
      </c>
      <c r="O231">
        <v>154.5</v>
      </c>
      <c r="P231">
        <v>143.80000000000001</v>
      </c>
      <c r="Q231">
        <v>166.2</v>
      </c>
      <c r="R231">
        <v>144</v>
      </c>
      <c r="S231">
        <v>131.69999999999999</v>
      </c>
      <c r="T231">
        <v>142.19999999999999</v>
      </c>
      <c r="U231">
        <v>150.1</v>
      </c>
      <c r="V231">
        <v>129.4</v>
      </c>
      <c r="W231">
        <v>137.19999999999999</v>
      </c>
      <c r="X231">
        <v>139.80000000000001</v>
      </c>
      <c r="Y231">
        <v>120.1</v>
      </c>
      <c r="Z231">
        <v>134</v>
      </c>
      <c r="AA231">
        <v>148</v>
      </c>
      <c r="AB231">
        <v>132.6</v>
      </c>
      <c r="AC231">
        <v>133.30000000000001</v>
      </c>
      <c r="AD231">
        <v>141.5</v>
      </c>
    </row>
    <row r="232" spans="1:30" x14ac:dyDescent="0.3">
      <c r="A232" t="s">
        <v>45</v>
      </c>
      <c r="B232">
        <v>2019</v>
      </c>
      <c r="C232" t="s">
        <v>42</v>
      </c>
      <c r="D232">
        <v>138.30000000000001</v>
      </c>
      <c r="E232">
        <v>158.5</v>
      </c>
      <c r="F232">
        <v>136</v>
      </c>
      <c r="G232">
        <v>142.5</v>
      </c>
      <c r="H232">
        <v>122</v>
      </c>
      <c r="I232">
        <v>146.5</v>
      </c>
      <c r="J232">
        <v>143</v>
      </c>
      <c r="K232">
        <v>124.9</v>
      </c>
      <c r="L232">
        <v>109.9</v>
      </c>
      <c r="M232">
        <v>139.9</v>
      </c>
      <c r="N232">
        <v>134</v>
      </c>
      <c r="O232">
        <v>155.5</v>
      </c>
      <c r="P232">
        <v>140.9</v>
      </c>
      <c r="Q232">
        <v>164.1</v>
      </c>
      <c r="R232">
        <v>148.4</v>
      </c>
      <c r="S232">
        <v>140.4</v>
      </c>
      <c r="T232">
        <v>147.30000000000001</v>
      </c>
      <c r="U232">
        <v>150.1</v>
      </c>
      <c r="V232">
        <v>140.30000000000001</v>
      </c>
      <c r="W232">
        <v>143.69999999999999</v>
      </c>
      <c r="X232">
        <v>146.9</v>
      </c>
      <c r="Y232">
        <v>124.9</v>
      </c>
      <c r="Z232">
        <v>139.19999999999999</v>
      </c>
      <c r="AA232">
        <v>151.6</v>
      </c>
      <c r="AB232">
        <v>133.4</v>
      </c>
      <c r="AC232">
        <v>138.19999999999999</v>
      </c>
      <c r="AD232">
        <v>142</v>
      </c>
    </row>
    <row r="233" spans="1:30" x14ac:dyDescent="0.3">
      <c r="A233" t="s">
        <v>41</v>
      </c>
      <c r="B233">
        <v>2019</v>
      </c>
      <c r="C233" t="s">
        <v>60</v>
      </c>
      <c r="D233">
        <v>137.80000000000001</v>
      </c>
      <c r="E233">
        <v>163.5</v>
      </c>
      <c r="F233">
        <v>136.19999999999999</v>
      </c>
      <c r="G233">
        <v>143.19999999999999</v>
      </c>
      <c r="H233">
        <v>124.3</v>
      </c>
      <c r="I233">
        <v>143.30000000000001</v>
      </c>
      <c r="J233">
        <v>140.6</v>
      </c>
      <c r="K233">
        <v>128.69999999999999</v>
      </c>
      <c r="L233">
        <v>110.6</v>
      </c>
      <c r="M233">
        <v>140.4</v>
      </c>
      <c r="N233">
        <v>138</v>
      </c>
      <c r="O233">
        <v>156.6</v>
      </c>
      <c r="P233">
        <v>141</v>
      </c>
      <c r="Q233">
        <v>164.2</v>
      </c>
      <c r="R233">
        <v>151.4</v>
      </c>
      <c r="S233">
        <v>146.5</v>
      </c>
      <c r="T233">
        <v>150.69999999999999</v>
      </c>
      <c r="U233" t="s">
        <v>67</v>
      </c>
      <c r="V233">
        <v>147.80000000000001</v>
      </c>
      <c r="W233">
        <v>149.6</v>
      </c>
      <c r="X233">
        <v>151.69999999999999</v>
      </c>
      <c r="Y233">
        <v>130.19999999999999</v>
      </c>
      <c r="Z233">
        <v>146.4</v>
      </c>
      <c r="AA233">
        <v>157.69999999999999</v>
      </c>
      <c r="AB233">
        <v>134.80000000000001</v>
      </c>
      <c r="AC233">
        <v>143.30000000000001</v>
      </c>
      <c r="AD233">
        <v>143.6</v>
      </c>
    </row>
    <row r="234" spans="1:30" x14ac:dyDescent="0.3">
      <c r="A234" t="s">
        <v>44</v>
      </c>
      <c r="B234">
        <v>2019</v>
      </c>
      <c r="C234" t="s">
        <v>60</v>
      </c>
      <c r="D234">
        <v>140.69999999999999</v>
      </c>
      <c r="E234">
        <v>159.6</v>
      </c>
      <c r="F234">
        <v>140.4</v>
      </c>
      <c r="G234">
        <v>143.4</v>
      </c>
      <c r="H234">
        <v>118.6</v>
      </c>
      <c r="I234">
        <v>150.9</v>
      </c>
      <c r="J234">
        <v>169.8</v>
      </c>
      <c r="K234">
        <v>127.4</v>
      </c>
      <c r="L234">
        <v>111.8</v>
      </c>
      <c r="M234">
        <v>141</v>
      </c>
      <c r="N234">
        <v>129</v>
      </c>
      <c r="O234">
        <v>155.1</v>
      </c>
      <c r="P234">
        <v>145.6</v>
      </c>
      <c r="Q234">
        <v>166.7</v>
      </c>
      <c r="R234">
        <v>144.30000000000001</v>
      </c>
      <c r="S234">
        <v>131.69999999999999</v>
      </c>
      <c r="T234">
        <v>142.4</v>
      </c>
      <c r="U234">
        <v>149.4</v>
      </c>
      <c r="V234">
        <v>130.5</v>
      </c>
      <c r="W234">
        <v>137.4</v>
      </c>
      <c r="X234">
        <v>140.30000000000001</v>
      </c>
      <c r="Y234">
        <v>119.6</v>
      </c>
      <c r="Z234">
        <v>134.30000000000001</v>
      </c>
      <c r="AA234">
        <v>148.9</v>
      </c>
      <c r="AB234">
        <v>133.69999999999999</v>
      </c>
      <c r="AC234">
        <v>133.6</v>
      </c>
      <c r="AD234">
        <v>142.1</v>
      </c>
    </row>
    <row r="235" spans="1:30" x14ac:dyDescent="0.3">
      <c r="A235" t="s">
        <v>45</v>
      </c>
      <c r="B235">
        <v>2019</v>
      </c>
      <c r="C235" t="s">
        <v>60</v>
      </c>
      <c r="D235">
        <v>138.69999999999999</v>
      </c>
      <c r="E235">
        <v>162.1</v>
      </c>
      <c r="F235">
        <v>137.80000000000001</v>
      </c>
      <c r="G235">
        <v>143.30000000000001</v>
      </c>
      <c r="H235">
        <v>122.2</v>
      </c>
      <c r="I235">
        <v>146.80000000000001</v>
      </c>
      <c r="J235">
        <v>150.5</v>
      </c>
      <c r="K235">
        <v>128.30000000000001</v>
      </c>
      <c r="L235">
        <v>111</v>
      </c>
      <c r="M235">
        <v>140.6</v>
      </c>
      <c r="N235">
        <v>134.19999999999999</v>
      </c>
      <c r="O235">
        <v>155.9</v>
      </c>
      <c r="P235">
        <v>142.69999999999999</v>
      </c>
      <c r="Q235">
        <v>164.9</v>
      </c>
      <c r="R235">
        <v>148.6</v>
      </c>
      <c r="S235">
        <v>140.4</v>
      </c>
      <c r="T235">
        <v>147.4</v>
      </c>
      <c r="U235">
        <v>149.4</v>
      </c>
      <c r="V235">
        <v>141.19999999999999</v>
      </c>
      <c r="W235">
        <v>143.80000000000001</v>
      </c>
      <c r="X235">
        <v>147.4</v>
      </c>
      <c r="Y235">
        <v>124.6</v>
      </c>
      <c r="Z235">
        <v>139.6</v>
      </c>
      <c r="AA235">
        <v>152.5</v>
      </c>
      <c r="AB235">
        <v>134.30000000000001</v>
      </c>
      <c r="AC235">
        <v>138.6</v>
      </c>
      <c r="AD235">
        <v>142.9</v>
      </c>
    </row>
    <row r="236" spans="1:30" x14ac:dyDescent="0.3">
      <c r="A236" t="s">
        <v>41</v>
      </c>
      <c r="B236">
        <v>2019</v>
      </c>
      <c r="C236" t="s">
        <v>61</v>
      </c>
      <c r="D236">
        <v>138.4</v>
      </c>
      <c r="E236">
        <v>164</v>
      </c>
      <c r="F236">
        <v>138.4</v>
      </c>
      <c r="G236">
        <v>143.9</v>
      </c>
      <c r="H236">
        <v>124.4</v>
      </c>
      <c r="I236">
        <v>146.4</v>
      </c>
      <c r="J236">
        <v>150.1</v>
      </c>
      <c r="K236">
        <v>130.6</v>
      </c>
      <c r="L236">
        <v>110.8</v>
      </c>
      <c r="M236">
        <v>141.69999999999999</v>
      </c>
      <c r="N236">
        <v>138.5</v>
      </c>
      <c r="O236">
        <v>156.69999999999999</v>
      </c>
      <c r="P236">
        <v>143</v>
      </c>
      <c r="Q236">
        <v>164.5</v>
      </c>
      <c r="R236">
        <v>151.6</v>
      </c>
      <c r="S236">
        <v>146.6</v>
      </c>
      <c r="T236">
        <v>150.9</v>
      </c>
      <c r="U236" t="s">
        <v>67</v>
      </c>
      <c r="V236">
        <v>146.80000000000001</v>
      </c>
      <c r="W236">
        <v>150</v>
      </c>
      <c r="X236">
        <v>152.19999999999999</v>
      </c>
      <c r="Y236">
        <v>131.19999999999999</v>
      </c>
      <c r="Z236">
        <v>147.5</v>
      </c>
      <c r="AA236">
        <v>159.1</v>
      </c>
      <c r="AB236">
        <v>136.1</v>
      </c>
      <c r="AC236">
        <v>144.19999999999999</v>
      </c>
      <c r="AD236">
        <v>144.9</v>
      </c>
    </row>
    <row r="237" spans="1:30" x14ac:dyDescent="0.3">
      <c r="A237" t="s">
        <v>44</v>
      </c>
      <c r="B237">
        <v>2019</v>
      </c>
      <c r="C237" t="s">
        <v>61</v>
      </c>
      <c r="D237">
        <v>141.4</v>
      </c>
      <c r="E237">
        <v>160.19999999999999</v>
      </c>
      <c r="F237">
        <v>142.5</v>
      </c>
      <c r="G237">
        <v>144.1</v>
      </c>
      <c r="H237">
        <v>119.3</v>
      </c>
      <c r="I237">
        <v>154.69999999999999</v>
      </c>
      <c r="J237">
        <v>180.1</v>
      </c>
      <c r="K237">
        <v>128.9</v>
      </c>
      <c r="L237">
        <v>111.8</v>
      </c>
      <c r="M237">
        <v>141.6</v>
      </c>
      <c r="N237">
        <v>129.5</v>
      </c>
      <c r="O237">
        <v>155.6</v>
      </c>
      <c r="P237">
        <v>147.69999999999999</v>
      </c>
      <c r="Q237">
        <v>167.2</v>
      </c>
      <c r="R237">
        <v>144.69999999999999</v>
      </c>
      <c r="S237">
        <v>131.9</v>
      </c>
      <c r="T237">
        <v>142.69999999999999</v>
      </c>
      <c r="U237">
        <v>150.6</v>
      </c>
      <c r="V237">
        <v>127</v>
      </c>
      <c r="W237">
        <v>137.69999999999999</v>
      </c>
      <c r="X237">
        <v>140.80000000000001</v>
      </c>
      <c r="Y237">
        <v>120.6</v>
      </c>
      <c r="Z237">
        <v>135</v>
      </c>
      <c r="AA237">
        <v>150.4</v>
      </c>
      <c r="AB237">
        <v>135.1</v>
      </c>
      <c r="AC237">
        <v>134.5</v>
      </c>
      <c r="AD237">
        <v>143.30000000000001</v>
      </c>
    </row>
    <row r="238" spans="1:30" x14ac:dyDescent="0.3">
      <c r="A238" t="s">
        <v>45</v>
      </c>
      <c r="B238">
        <v>2019</v>
      </c>
      <c r="C238" t="s">
        <v>61</v>
      </c>
      <c r="D238">
        <v>139.30000000000001</v>
      </c>
      <c r="E238">
        <v>162.69999999999999</v>
      </c>
      <c r="F238">
        <v>140</v>
      </c>
      <c r="G238">
        <v>144</v>
      </c>
      <c r="H238">
        <v>122.5</v>
      </c>
      <c r="I238">
        <v>150.30000000000001</v>
      </c>
      <c r="J238">
        <v>160.30000000000001</v>
      </c>
      <c r="K238">
        <v>130</v>
      </c>
      <c r="L238">
        <v>111.1</v>
      </c>
      <c r="M238">
        <v>141.69999999999999</v>
      </c>
      <c r="N238">
        <v>134.69999999999999</v>
      </c>
      <c r="O238">
        <v>156.19999999999999</v>
      </c>
      <c r="P238">
        <v>144.69999999999999</v>
      </c>
      <c r="Q238">
        <v>165.2</v>
      </c>
      <c r="R238">
        <v>148.9</v>
      </c>
      <c r="S238">
        <v>140.5</v>
      </c>
      <c r="T238">
        <v>147.6</v>
      </c>
      <c r="U238">
        <v>150.6</v>
      </c>
      <c r="V238">
        <v>139.30000000000001</v>
      </c>
      <c r="W238">
        <v>144.19999999999999</v>
      </c>
      <c r="X238">
        <v>147.9</v>
      </c>
      <c r="Y238">
        <v>125.6</v>
      </c>
      <c r="Z238">
        <v>140.5</v>
      </c>
      <c r="AA238">
        <v>154</v>
      </c>
      <c r="AB238">
        <v>135.69999999999999</v>
      </c>
      <c r="AC238">
        <v>139.5</v>
      </c>
      <c r="AD238">
        <v>144.19999999999999</v>
      </c>
    </row>
    <row r="239" spans="1:30" x14ac:dyDescent="0.3">
      <c r="A239" t="s">
        <v>41</v>
      </c>
      <c r="B239">
        <v>2019</v>
      </c>
      <c r="C239" t="s">
        <v>62</v>
      </c>
      <c r="D239">
        <v>139.19999999999999</v>
      </c>
      <c r="E239">
        <v>161.9</v>
      </c>
      <c r="F239">
        <v>137.1</v>
      </c>
      <c r="G239">
        <v>144.6</v>
      </c>
      <c r="H239">
        <v>124.7</v>
      </c>
      <c r="I239">
        <v>145.5</v>
      </c>
      <c r="J239">
        <v>156.19999999999999</v>
      </c>
      <c r="K239">
        <v>131.5</v>
      </c>
      <c r="L239">
        <v>111.7</v>
      </c>
      <c r="M239">
        <v>142.69999999999999</v>
      </c>
      <c r="N239">
        <v>138.5</v>
      </c>
      <c r="O239">
        <v>156.9</v>
      </c>
      <c r="P239">
        <v>144</v>
      </c>
      <c r="Q239">
        <v>165.1</v>
      </c>
      <c r="R239">
        <v>151.80000000000001</v>
      </c>
      <c r="S239">
        <v>146.6</v>
      </c>
      <c r="T239">
        <v>151.1</v>
      </c>
      <c r="U239" t="s">
        <v>67</v>
      </c>
      <c r="V239">
        <v>146.4</v>
      </c>
      <c r="W239">
        <v>150.19999999999999</v>
      </c>
      <c r="X239">
        <v>152.69999999999999</v>
      </c>
      <c r="Y239">
        <v>131.4</v>
      </c>
      <c r="Z239">
        <v>148</v>
      </c>
      <c r="AA239">
        <v>159.69999999999999</v>
      </c>
      <c r="AB239">
        <v>138.80000000000001</v>
      </c>
      <c r="AC239">
        <v>144.9</v>
      </c>
      <c r="AD239">
        <v>145.69999999999999</v>
      </c>
    </row>
    <row r="240" spans="1:30" x14ac:dyDescent="0.3">
      <c r="A240" t="s">
        <v>44</v>
      </c>
      <c r="B240">
        <v>2019</v>
      </c>
      <c r="C240" t="s">
        <v>62</v>
      </c>
      <c r="D240">
        <v>142.1</v>
      </c>
      <c r="E240">
        <v>158.30000000000001</v>
      </c>
      <c r="F240">
        <v>140.80000000000001</v>
      </c>
      <c r="G240">
        <v>144.9</v>
      </c>
      <c r="H240">
        <v>119.9</v>
      </c>
      <c r="I240">
        <v>153.9</v>
      </c>
      <c r="J240">
        <v>189.1</v>
      </c>
      <c r="K240">
        <v>129.80000000000001</v>
      </c>
      <c r="L240">
        <v>112.7</v>
      </c>
      <c r="M240">
        <v>142.5</v>
      </c>
      <c r="N240">
        <v>129.80000000000001</v>
      </c>
      <c r="O240">
        <v>156.19999999999999</v>
      </c>
      <c r="P240">
        <v>149.1</v>
      </c>
      <c r="Q240">
        <v>167.9</v>
      </c>
      <c r="R240">
        <v>145</v>
      </c>
      <c r="S240">
        <v>132.19999999999999</v>
      </c>
      <c r="T240">
        <v>143</v>
      </c>
      <c r="U240">
        <v>151.6</v>
      </c>
      <c r="V240">
        <v>125.5</v>
      </c>
      <c r="W240">
        <v>138.1</v>
      </c>
      <c r="X240">
        <v>141.5</v>
      </c>
      <c r="Y240">
        <v>120.8</v>
      </c>
      <c r="Z240">
        <v>135.4</v>
      </c>
      <c r="AA240">
        <v>151.5</v>
      </c>
      <c r="AB240">
        <v>137.80000000000001</v>
      </c>
      <c r="AC240">
        <v>135.30000000000001</v>
      </c>
      <c r="AD240">
        <v>144.19999999999999</v>
      </c>
    </row>
    <row r="241" spans="1:30" x14ac:dyDescent="0.3">
      <c r="A241" t="s">
        <v>45</v>
      </c>
      <c r="B241">
        <v>2019</v>
      </c>
      <c r="C241" t="s">
        <v>62</v>
      </c>
      <c r="D241">
        <v>140.1</v>
      </c>
      <c r="E241">
        <v>160.6</v>
      </c>
      <c r="F241">
        <v>138.5</v>
      </c>
      <c r="G241">
        <v>144.69999999999999</v>
      </c>
      <c r="H241">
        <v>122.9</v>
      </c>
      <c r="I241">
        <v>149.4</v>
      </c>
      <c r="J241">
        <v>167.4</v>
      </c>
      <c r="K241">
        <v>130.9</v>
      </c>
      <c r="L241">
        <v>112</v>
      </c>
      <c r="M241">
        <v>142.6</v>
      </c>
      <c r="N241">
        <v>134.9</v>
      </c>
      <c r="O241">
        <v>156.6</v>
      </c>
      <c r="P241">
        <v>145.9</v>
      </c>
      <c r="Q241">
        <v>165.8</v>
      </c>
      <c r="R241">
        <v>149.1</v>
      </c>
      <c r="S241">
        <v>140.6</v>
      </c>
      <c r="T241">
        <v>147.9</v>
      </c>
      <c r="U241">
        <v>151.6</v>
      </c>
      <c r="V241">
        <v>138.5</v>
      </c>
      <c r="W241">
        <v>144.5</v>
      </c>
      <c r="X241">
        <v>148.5</v>
      </c>
      <c r="Y241">
        <v>125.8</v>
      </c>
      <c r="Z241">
        <v>140.9</v>
      </c>
      <c r="AA241">
        <v>154.9</v>
      </c>
      <c r="AB241">
        <v>138.4</v>
      </c>
      <c r="AC241">
        <v>140.19999999999999</v>
      </c>
      <c r="AD241">
        <v>145</v>
      </c>
    </row>
    <row r="242" spans="1:30" x14ac:dyDescent="0.3">
      <c r="A242" t="s">
        <v>41</v>
      </c>
      <c r="B242">
        <v>2019</v>
      </c>
      <c r="C242" t="s">
        <v>63</v>
      </c>
      <c r="D242">
        <v>140.1</v>
      </c>
      <c r="E242">
        <v>161.9</v>
      </c>
      <c r="F242">
        <v>138.30000000000001</v>
      </c>
      <c r="G242">
        <v>145.69999999999999</v>
      </c>
      <c r="H242">
        <v>125.1</v>
      </c>
      <c r="I242">
        <v>143.80000000000001</v>
      </c>
      <c r="J242">
        <v>163.4</v>
      </c>
      <c r="K242">
        <v>132.19999999999999</v>
      </c>
      <c r="L242">
        <v>112.8</v>
      </c>
      <c r="M242">
        <v>144.19999999999999</v>
      </c>
      <c r="N242">
        <v>138.5</v>
      </c>
      <c r="O242">
        <v>157.19999999999999</v>
      </c>
      <c r="P242">
        <v>145.5</v>
      </c>
      <c r="Q242">
        <v>165.7</v>
      </c>
      <c r="R242">
        <v>151.69999999999999</v>
      </c>
      <c r="S242">
        <v>146.6</v>
      </c>
      <c r="T242">
        <v>151</v>
      </c>
      <c r="U242" t="s">
        <v>67</v>
      </c>
      <c r="V242">
        <v>146.9</v>
      </c>
      <c r="W242">
        <v>150.30000000000001</v>
      </c>
      <c r="X242">
        <v>153.4</v>
      </c>
      <c r="Y242">
        <v>131.6</v>
      </c>
      <c r="Z242">
        <v>148.30000000000001</v>
      </c>
      <c r="AA242">
        <v>160.19999999999999</v>
      </c>
      <c r="AB242">
        <v>140.19999999999999</v>
      </c>
      <c r="AC242">
        <v>145.4</v>
      </c>
      <c r="AD242">
        <v>146.69999999999999</v>
      </c>
    </row>
    <row r="243" spans="1:30" x14ac:dyDescent="0.3">
      <c r="A243" t="s">
        <v>44</v>
      </c>
      <c r="B243">
        <v>2019</v>
      </c>
      <c r="C243" t="s">
        <v>63</v>
      </c>
      <c r="D243">
        <v>142.69999999999999</v>
      </c>
      <c r="E243">
        <v>158.69999999999999</v>
      </c>
      <c r="F243">
        <v>141.6</v>
      </c>
      <c r="G243">
        <v>144.9</v>
      </c>
      <c r="H243">
        <v>120.8</v>
      </c>
      <c r="I243">
        <v>149.80000000000001</v>
      </c>
      <c r="J243">
        <v>192.4</v>
      </c>
      <c r="K243">
        <v>130.30000000000001</v>
      </c>
      <c r="L243">
        <v>114</v>
      </c>
      <c r="M243">
        <v>143.80000000000001</v>
      </c>
      <c r="N243">
        <v>130</v>
      </c>
      <c r="O243">
        <v>156.4</v>
      </c>
      <c r="P243">
        <v>149.5</v>
      </c>
      <c r="Q243">
        <v>168.6</v>
      </c>
      <c r="R243">
        <v>145.30000000000001</v>
      </c>
      <c r="S243">
        <v>132.19999999999999</v>
      </c>
      <c r="T243">
        <v>143.30000000000001</v>
      </c>
      <c r="U243">
        <v>152.19999999999999</v>
      </c>
      <c r="V243">
        <v>126.6</v>
      </c>
      <c r="W243">
        <v>138.30000000000001</v>
      </c>
      <c r="X243">
        <v>141.9</v>
      </c>
      <c r="Y243">
        <v>121.2</v>
      </c>
      <c r="Z243">
        <v>135.9</v>
      </c>
      <c r="AA243">
        <v>151.6</v>
      </c>
      <c r="AB243">
        <v>139</v>
      </c>
      <c r="AC243">
        <v>135.69999999999999</v>
      </c>
      <c r="AD243">
        <v>144.69999999999999</v>
      </c>
    </row>
    <row r="244" spans="1:30" x14ac:dyDescent="0.3">
      <c r="A244" t="s">
        <v>45</v>
      </c>
      <c r="B244">
        <v>2019</v>
      </c>
      <c r="C244" t="s">
        <v>63</v>
      </c>
      <c r="D244">
        <v>140.9</v>
      </c>
      <c r="E244">
        <v>160.80000000000001</v>
      </c>
      <c r="F244">
        <v>139.6</v>
      </c>
      <c r="G244">
        <v>145.4</v>
      </c>
      <c r="H244">
        <v>123.5</v>
      </c>
      <c r="I244">
        <v>146.6</v>
      </c>
      <c r="J244">
        <v>173.2</v>
      </c>
      <c r="K244">
        <v>131.6</v>
      </c>
      <c r="L244">
        <v>113.2</v>
      </c>
      <c r="M244">
        <v>144.1</v>
      </c>
      <c r="N244">
        <v>135</v>
      </c>
      <c r="O244">
        <v>156.80000000000001</v>
      </c>
      <c r="P244">
        <v>147</v>
      </c>
      <c r="Q244">
        <v>166.5</v>
      </c>
      <c r="R244">
        <v>149.19999999999999</v>
      </c>
      <c r="S244">
        <v>140.6</v>
      </c>
      <c r="T244">
        <v>147.9</v>
      </c>
      <c r="U244">
        <v>152.19999999999999</v>
      </c>
      <c r="V244">
        <v>139.19999999999999</v>
      </c>
      <c r="W244">
        <v>144.6</v>
      </c>
      <c r="X244">
        <v>149</v>
      </c>
      <c r="Y244">
        <v>126.1</v>
      </c>
      <c r="Z244">
        <v>141.30000000000001</v>
      </c>
      <c r="AA244">
        <v>155.19999999999999</v>
      </c>
      <c r="AB244">
        <v>139.69999999999999</v>
      </c>
      <c r="AC244">
        <v>140.69999999999999</v>
      </c>
      <c r="AD244">
        <v>145.80000000000001</v>
      </c>
    </row>
    <row r="245" spans="1:30" x14ac:dyDescent="0.3">
      <c r="A245" t="s">
        <v>41</v>
      </c>
      <c r="B245">
        <v>2019</v>
      </c>
      <c r="C245" t="s">
        <v>64</v>
      </c>
      <c r="D245">
        <v>141</v>
      </c>
      <c r="E245">
        <v>161.6</v>
      </c>
      <c r="F245">
        <v>141.19999999999999</v>
      </c>
      <c r="G245">
        <v>146.5</v>
      </c>
      <c r="H245">
        <v>125.6</v>
      </c>
      <c r="I245">
        <v>145.69999999999999</v>
      </c>
      <c r="J245">
        <v>178.8</v>
      </c>
      <c r="K245">
        <v>133.1</v>
      </c>
      <c r="L245">
        <v>113.6</v>
      </c>
      <c r="M245">
        <v>145.5</v>
      </c>
      <c r="N245">
        <v>138.6</v>
      </c>
      <c r="O245">
        <v>157.4</v>
      </c>
      <c r="P245">
        <v>148.30000000000001</v>
      </c>
      <c r="Q245">
        <v>166.3</v>
      </c>
      <c r="R245">
        <v>151.69999999999999</v>
      </c>
      <c r="S245">
        <v>146.69999999999999</v>
      </c>
      <c r="T245">
        <v>151</v>
      </c>
      <c r="U245" t="s">
        <v>67</v>
      </c>
      <c r="V245">
        <v>147.69999999999999</v>
      </c>
      <c r="W245">
        <v>150.6</v>
      </c>
      <c r="X245">
        <v>153.69999999999999</v>
      </c>
      <c r="Y245">
        <v>131.69999999999999</v>
      </c>
      <c r="Z245">
        <v>148.69999999999999</v>
      </c>
      <c r="AA245">
        <v>160.69999999999999</v>
      </c>
      <c r="AB245">
        <v>140.30000000000001</v>
      </c>
      <c r="AC245">
        <v>145.69999999999999</v>
      </c>
      <c r="AD245">
        <v>148.30000000000001</v>
      </c>
    </row>
    <row r="246" spans="1:30" x14ac:dyDescent="0.3">
      <c r="A246" t="s">
        <v>44</v>
      </c>
      <c r="B246">
        <v>2019</v>
      </c>
      <c r="C246" t="s">
        <v>64</v>
      </c>
      <c r="D246">
        <v>143.5</v>
      </c>
      <c r="E246">
        <v>159.80000000000001</v>
      </c>
      <c r="F246">
        <v>144.69999999999999</v>
      </c>
      <c r="G246">
        <v>145.6</v>
      </c>
      <c r="H246">
        <v>121.1</v>
      </c>
      <c r="I246">
        <v>150.6</v>
      </c>
      <c r="J246">
        <v>207.2</v>
      </c>
      <c r="K246">
        <v>131.19999999999999</v>
      </c>
      <c r="L246">
        <v>114.8</v>
      </c>
      <c r="M246">
        <v>145.19999999999999</v>
      </c>
      <c r="N246">
        <v>130.19999999999999</v>
      </c>
      <c r="O246">
        <v>156.80000000000001</v>
      </c>
      <c r="P246">
        <v>151.9</v>
      </c>
      <c r="Q246">
        <v>169.3</v>
      </c>
      <c r="R246">
        <v>145.9</v>
      </c>
      <c r="S246">
        <v>132.4</v>
      </c>
      <c r="T246">
        <v>143.9</v>
      </c>
      <c r="U246">
        <v>153</v>
      </c>
      <c r="V246">
        <v>128.9</v>
      </c>
      <c r="W246">
        <v>138.69999999999999</v>
      </c>
      <c r="X246">
        <v>142.4</v>
      </c>
      <c r="Y246">
        <v>121.5</v>
      </c>
      <c r="Z246">
        <v>136.19999999999999</v>
      </c>
      <c r="AA246">
        <v>151.69999999999999</v>
      </c>
      <c r="AB246">
        <v>139.5</v>
      </c>
      <c r="AC246">
        <v>136</v>
      </c>
      <c r="AD246">
        <v>146</v>
      </c>
    </row>
    <row r="247" spans="1:30" x14ac:dyDescent="0.3">
      <c r="A247" t="s">
        <v>45</v>
      </c>
      <c r="B247">
        <v>2019</v>
      </c>
      <c r="C247" t="s">
        <v>64</v>
      </c>
      <c r="D247">
        <v>141.80000000000001</v>
      </c>
      <c r="E247">
        <v>161</v>
      </c>
      <c r="F247">
        <v>142.6</v>
      </c>
      <c r="G247">
        <v>146.19999999999999</v>
      </c>
      <c r="H247">
        <v>123.9</v>
      </c>
      <c r="I247">
        <v>148</v>
      </c>
      <c r="J247">
        <v>188.4</v>
      </c>
      <c r="K247">
        <v>132.5</v>
      </c>
      <c r="L247">
        <v>114</v>
      </c>
      <c r="M247">
        <v>145.4</v>
      </c>
      <c r="N247">
        <v>135.1</v>
      </c>
      <c r="O247">
        <v>157.1</v>
      </c>
      <c r="P247">
        <v>149.6</v>
      </c>
      <c r="Q247">
        <v>167.1</v>
      </c>
      <c r="R247">
        <v>149.4</v>
      </c>
      <c r="S247">
        <v>140.80000000000001</v>
      </c>
      <c r="T247">
        <v>148.19999999999999</v>
      </c>
      <c r="U247">
        <v>153</v>
      </c>
      <c r="V247">
        <v>140.6</v>
      </c>
      <c r="W247">
        <v>145</v>
      </c>
      <c r="X247">
        <v>149.4</v>
      </c>
      <c r="Y247">
        <v>126.3</v>
      </c>
      <c r="Z247">
        <v>141.69999999999999</v>
      </c>
      <c r="AA247">
        <v>155.4</v>
      </c>
      <c r="AB247">
        <v>140</v>
      </c>
      <c r="AC247">
        <v>141</v>
      </c>
      <c r="AD247">
        <v>147.19999999999999</v>
      </c>
    </row>
    <row r="248" spans="1:30" x14ac:dyDescent="0.3">
      <c r="A248" t="s">
        <v>41</v>
      </c>
      <c r="B248">
        <v>2019</v>
      </c>
      <c r="C248" t="s">
        <v>65</v>
      </c>
      <c r="D248">
        <v>141.80000000000001</v>
      </c>
      <c r="E248">
        <v>163.69999999999999</v>
      </c>
      <c r="F248">
        <v>143.80000000000001</v>
      </c>
      <c r="G248">
        <v>147.1</v>
      </c>
      <c r="H248">
        <v>126</v>
      </c>
      <c r="I248">
        <v>146.19999999999999</v>
      </c>
      <c r="J248">
        <v>191.4</v>
      </c>
      <c r="K248">
        <v>136.19999999999999</v>
      </c>
      <c r="L248">
        <v>113.8</v>
      </c>
      <c r="M248">
        <v>147.30000000000001</v>
      </c>
      <c r="N248">
        <v>138.69999999999999</v>
      </c>
      <c r="O248">
        <v>157.69999999999999</v>
      </c>
      <c r="P248">
        <v>150.9</v>
      </c>
      <c r="Q248">
        <v>167.2</v>
      </c>
      <c r="R248">
        <v>152.30000000000001</v>
      </c>
      <c r="S248">
        <v>147</v>
      </c>
      <c r="T248">
        <v>151.5</v>
      </c>
      <c r="U248" t="s">
        <v>67</v>
      </c>
      <c r="V248">
        <v>148.4</v>
      </c>
      <c r="W248">
        <v>150.9</v>
      </c>
      <c r="X248">
        <v>154.30000000000001</v>
      </c>
      <c r="Y248">
        <v>132.1</v>
      </c>
      <c r="Z248">
        <v>149.1</v>
      </c>
      <c r="AA248">
        <v>160.80000000000001</v>
      </c>
      <c r="AB248">
        <v>140.6</v>
      </c>
      <c r="AC248">
        <v>146.1</v>
      </c>
      <c r="AD248">
        <v>149.9</v>
      </c>
    </row>
    <row r="249" spans="1:30" x14ac:dyDescent="0.3">
      <c r="A249" t="s">
        <v>44</v>
      </c>
      <c r="B249">
        <v>2019</v>
      </c>
      <c r="C249" t="s">
        <v>65</v>
      </c>
      <c r="D249">
        <v>144.1</v>
      </c>
      <c r="E249">
        <v>162.4</v>
      </c>
      <c r="F249">
        <v>148.4</v>
      </c>
      <c r="G249">
        <v>145.9</v>
      </c>
      <c r="H249">
        <v>121.5</v>
      </c>
      <c r="I249">
        <v>148.80000000000001</v>
      </c>
      <c r="J249">
        <v>215.7</v>
      </c>
      <c r="K249">
        <v>134.6</v>
      </c>
      <c r="L249">
        <v>115</v>
      </c>
      <c r="M249">
        <v>146.30000000000001</v>
      </c>
      <c r="N249">
        <v>130.5</v>
      </c>
      <c r="O249">
        <v>157.19999999999999</v>
      </c>
      <c r="P249">
        <v>153.6</v>
      </c>
      <c r="Q249">
        <v>169.9</v>
      </c>
      <c r="R249">
        <v>146.30000000000001</v>
      </c>
      <c r="S249">
        <v>132.6</v>
      </c>
      <c r="T249">
        <v>144.19999999999999</v>
      </c>
      <c r="U249">
        <v>153.5</v>
      </c>
      <c r="V249">
        <v>132.19999999999999</v>
      </c>
      <c r="W249">
        <v>139.1</v>
      </c>
      <c r="X249">
        <v>142.80000000000001</v>
      </c>
      <c r="Y249">
        <v>121.7</v>
      </c>
      <c r="Z249">
        <v>136.69999999999999</v>
      </c>
      <c r="AA249">
        <v>151.80000000000001</v>
      </c>
      <c r="AB249">
        <v>139.80000000000001</v>
      </c>
      <c r="AC249">
        <v>136.30000000000001</v>
      </c>
      <c r="AD249">
        <v>147</v>
      </c>
    </row>
    <row r="250" spans="1:30" x14ac:dyDescent="0.3">
      <c r="A250" t="s">
        <v>45</v>
      </c>
      <c r="B250">
        <v>2019</v>
      </c>
      <c r="C250" t="s">
        <v>65</v>
      </c>
      <c r="D250">
        <v>142.5</v>
      </c>
      <c r="E250">
        <v>163.19999999999999</v>
      </c>
      <c r="F250">
        <v>145.6</v>
      </c>
      <c r="G250">
        <v>146.69999999999999</v>
      </c>
      <c r="H250">
        <v>124.3</v>
      </c>
      <c r="I250">
        <v>147.4</v>
      </c>
      <c r="J250">
        <v>199.6</v>
      </c>
      <c r="K250">
        <v>135.69999999999999</v>
      </c>
      <c r="L250">
        <v>114.2</v>
      </c>
      <c r="M250">
        <v>147</v>
      </c>
      <c r="N250">
        <v>135.30000000000001</v>
      </c>
      <c r="O250">
        <v>157.5</v>
      </c>
      <c r="P250">
        <v>151.9</v>
      </c>
      <c r="Q250">
        <v>167.9</v>
      </c>
      <c r="R250">
        <v>149.9</v>
      </c>
      <c r="S250">
        <v>141</v>
      </c>
      <c r="T250">
        <v>148.6</v>
      </c>
      <c r="U250">
        <v>153.5</v>
      </c>
      <c r="V250">
        <v>142.30000000000001</v>
      </c>
      <c r="W250">
        <v>145.30000000000001</v>
      </c>
      <c r="X250">
        <v>149.9</v>
      </c>
      <c r="Y250">
        <v>126.6</v>
      </c>
      <c r="Z250">
        <v>142.1</v>
      </c>
      <c r="AA250">
        <v>155.5</v>
      </c>
      <c r="AB250">
        <v>140.30000000000001</v>
      </c>
      <c r="AC250">
        <v>141.30000000000001</v>
      </c>
      <c r="AD250">
        <v>148.6</v>
      </c>
    </row>
    <row r="251" spans="1:30" x14ac:dyDescent="0.3">
      <c r="A251" t="s">
        <v>41</v>
      </c>
      <c r="B251">
        <v>2019</v>
      </c>
      <c r="C251" t="s">
        <v>66</v>
      </c>
      <c r="D251">
        <v>142.80000000000001</v>
      </c>
      <c r="E251">
        <v>165.3</v>
      </c>
      <c r="F251">
        <v>149.5</v>
      </c>
      <c r="G251">
        <v>148.69999999999999</v>
      </c>
      <c r="H251">
        <v>127.5</v>
      </c>
      <c r="I251">
        <v>144.30000000000001</v>
      </c>
      <c r="J251">
        <v>209.5</v>
      </c>
      <c r="K251">
        <v>138.80000000000001</v>
      </c>
      <c r="L251">
        <v>113.6</v>
      </c>
      <c r="M251">
        <v>149.1</v>
      </c>
      <c r="N251">
        <v>139.30000000000001</v>
      </c>
      <c r="O251">
        <v>158.30000000000001</v>
      </c>
      <c r="P251">
        <v>154.30000000000001</v>
      </c>
      <c r="Q251">
        <v>167.8</v>
      </c>
      <c r="R251">
        <v>152.6</v>
      </c>
      <c r="S251">
        <v>147.30000000000001</v>
      </c>
      <c r="T251">
        <v>151.9</v>
      </c>
      <c r="U251" t="s">
        <v>67</v>
      </c>
      <c r="V251">
        <v>149.9</v>
      </c>
      <c r="W251">
        <v>151.19999999999999</v>
      </c>
      <c r="X251">
        <v>154.80000000000001</v>
      </c>
      <c r="Y251">
        <v>135</v>
      </c>
      <c r="Z251">
        <v>149.5</v>
      </c>
      <c r="AA251">
        <v>161.1</v>
      </c>
      <c r="AB251">
        <v>140.6</v>
      </c>
      <c r="AC251">
        <v>147.1</v>
      </c>
      <c r="AD251">
        <v>152.30000000000001</v>
      </c>
    </row>
    <row r="252" spans="1:30" x14ac:dyDescent="0.3">
      <c r="A252" t="s">
        <v>44</v>
      </c>
      <c r="B252">
        <v>2019</v>
      </c>
      <c r="C252" t="s">
        <v>66</v>
      </c>
      <c r="D252">
        <v>144.9</v>
      </c>
      <c r="E252">
        <v>164.5</v>
      </c>
      <c r="F252">
        <v>153.69999999999999</v>
      </c>
      <c r="G252">
        <v>147.5</v>
      </c>
      <c r="H252">
        <v>122.7</v>
      </c>
      <c r="I252">
        <v>147.19999999999999</v>
      </c>
      <c r="J252">
        <v>231.5</v>
      </c>
      <c r="K252">
        <v>137.19999999999999</v>
      </c>
      <c r="L252">
        <v>114.7</v>
      </c>
      <c r="M252">
        <v>148</v>
      </c>
      <c r="N252">
        <v>130.80000000000001</v>
      </c>
      <c r="O252">
        <v>157.69999999999999</v>
      </c>
      <c r="P252">
        <v>156.30000000000001</v>
      </c>
      <c r="Q252">
        <v>170.4</v>
      </c>
      <c r="R252">
        <v>146.80000000000001</v>
      </c>
      <c r="S252">
        <v>132.80000000000001</v>
      </c>
      <c r="T252">
        <v>144.6</v>
      </c>
      <c r="U252">
        <v>152.80000000000001</v>
      </c>
      <c r="V252">
        <v>133.6</v>
      </c>
      <c r="W252">
        <v>139.80000000000001</v>
      </c>
      <c r="X252">
        <v>143.19999999999999</v>
      </c>
      <c r="Y252">
        <v>125.2</v>
      </c>
      <c r="Z252">
        <v>136.80000000000001</v>
      </c>
      <c r="AA252">
        <v>151.9</v>
      </c>
      <c r="AB252">
        <v>140.19999999999999</v>
      </c>
      <c r="AC252">
        <v>137.69999999999999</v>
      </c>
      <c r="AD252">
        <v>148.30000000000001</v>
      </c>
    </row>
    <row r="253" spans="1:30" x14ac:dyDescent="0.3">
      <c r="A253" t="s">
        <v>45</v>
      </c>
      <c r="B253">
        <v>2019</v>
      </c>
      <c r="C253" t="s">
        <v>66</v>
      </c>
      <c r="D253">
        <v>143.5</v>
      </c>
      <c r="E253">
        <v>165</v>
      </c>
      <c r="F253">
        <v>151.1</v>
      </c>
      <c r="G253">
        <v>148.30000000000001</v>
      </c>
      <c r="H253">
        <v>125.7</v>
      </c>
      <c r="I253">
        <v>145.69999999999999</v>
      </c>
      <c r="J253">
        <v>217</v>
      </c>
      <c r="K253">
        <v>138.30000000000001</v>
      </c>
      <c r="L253">
        <v>114</v>
      </c>
      <c r="M253">
        <v>148.69999999999999</v>
      </c>
      <c r="N253">
        <v>135.80000000000001</v>
      </c>
      <c r="O253">
        <v>158</v>
      </c>
      <c r="P253">
        <v>155</v>
      </c>
      <c r="Q253">
        <v>168.5</v>
      </c>
      <c r="R253">
        <v>150.30000000000001</v>
      </c>
      <c r="S253">
        <v>141.30000000000001</v>
      </c>
      <c r="T253">
        <v>149</v>
      </c>
      <c r="U253">
        <v>152.80000000000001</v>
      </c>
      <c r="V253">
        <v>143.69999999999999</v>
      </c>
      <c r="W253">
        <v>145.80000000000001</v>
      </c>
      <c r="X253">
        <v>150.4</v>
      </c>
      <c r="Y253">
        <v>129.80000000000001</v>
      </c>
      <c r="Z253">
        <v>142.30000000000001</v>
      </c>
      <c r="AA253">
        <v>155.69999999999999</v>
      </c>
      <c r="AB253">
        <v>140.4</v>
      </c>
      <c r="AC253">
        <v>142.5</v>
      </c>
      <c r="AD253">
        <v>150.4</v>
      </c>
    </row>
    <row r="254" spans="1:30" x14ac:dyDescent="0.3">
      <c r="A254" t="s">
        <v>41</v>
      </c>
      <c r="B254">
        <v>2020</v>
      </c>
      <c r="C254" t="s">
        <v>56</v>
      </c>
      <c r="D254">
        <v>143.69999999999999</v>
      </c>
      <c r="E254">
        <v>167.3</v>
      </c>
      <c r="F254">
        <v>153.5</v>
      </c>
      <c r="G254">
        <v>150.5</v>
      </c>
      <c r="H254">
        <v>132</v>
      </c>
      <c r="I254">
        <v>142.19999999999999</v>
      </c>
      <c r="J254">
        <v>191.5</v>
      </c>
      <c r="K254">
        <v>141.1</v>
      </c>
      <c r="L254">
        <v>113.8</v>
      </c>
      <c r="M254">
        <v>151.6</v>
      </c>
      <c r="N254">
        <v>139.69999999999999</v>
      </c>
      <c r="O254">
        <v>158.69999999999999</v>
      </c>
      <c r="P254">
        <v>153</v>
      </c>
      <c r="Q254">
        <v>168.6</v>
      </c>
      <c r="R254">
        <v>152.80000000000001</v>
      </c>
      <c r="S254">
        <v>147.4</v>
      </c>
      <c r="T254">
        <v>152.1</v>
      </c>
      <c r="U254" t="s">
        <v>67</v>
      </c>
      <c r="V254">
        <v>150.4</v>
      </c>
      <c r="W254">
        <v>151.69999999999999</v>
      </c>
      <c r="X254">
        <v>155.69999999999999</v>
      </c>
      <c r="Y254">
        <v>136.30000000000001</v>
      </c>
      <c r="Z254">
        <v>150.1</v>
      </c>
      <c r="AA254">
        <v>161.69999999999999</v>
      </c>
      <c r="AB254">
        <v>142.5</v>
      </c>
      <c r="AC254">
        <v>148.1</v>
      </c>
      <c r="AD254">
        <v>151.9</v>
      </c>
    </row>
    <row r="255" spans="1:30" x14ac:dyDescent="0.3">
      <c r="A255" t="s">
        <v>44</v>
      </c>
      <c r="B255">
        <v>2020</v>
      </c>
      <c r="C255" t="s">
        <v>56</v>
      </c>
      <c r="D255">
        <v>145.6</v>
      </c>
      <c r="E255">
        <v>167.6</v>
      </c>
      <c r="F255">
        <v>157</v>
      </c>
      <c r="G255">
        <v>149.30000000000001</v>
      </c>
      <c r="H255">
        <v>126.3</v>
      </c>
      <c r="I255">
        <v>144.4</v>
      </c>
      <c r="J255">
        <v>207.8</v>
      </c>
      <c r="K255">
        <v>139.1</v>
      </c>
      <c r="L255">
        <v>114.8</v>
      </c>
      <c r="M255">
        <v>149.5</v>
      </c>
      <c r="N255">
        <v>131.1</v>
      </c>
      <c r="O255">
        <v>158.5</v>
      </c>
      <c r="P255">
        <v>154.4</v>
      </c>
      <c r="Q255">
        <v>170.8</v>
      </c>
      <c r="R255">
        <v>147</v>
      </c>
      <c r="S255">
        <v>133.19999999999999</v>
      </c>
      <c r="T255">
        <v>144.9</v>
      </c>
      <c r="U255">
        <v>153.9</v>
      </c>
      <c r="V255">
        <v>135.1</v>
      </c>
      <c r="W255">
        <v>140.1</v>
      </c>
      <c r="X255">
        <v>143.80000000000001</v>
      </c>
      <c r="Y255">
        <v>126.1</v>
      </c>
      <c r="Z255">
        <v>137.19999999999999</v>
      </c>
      <c r="AA255">
        <v>152.1</v>
      </c>
      <c r="AB255">
        <v>142.1</v>
      </c>
      <c r="AC255">
        <v>138.4</v>
      </c>
      <c r="AD255">
        <v>148.19999999999999</v>
      </c>
    </row>
    <row r="256" spans="1:30" x14ac:dyDescent="0.3">
      <c r="A256" t="s">
        <v>45</v>
      </c>
      <c r="B256">
        <v>2020</v>
      </c>
      <c r="C256" t="s">
        <v>56</v>
      </c>
      <c r="D256">
        <v>144.30000000000001</v>
      </c>
      <c r="E256">
        <v>167.4</v>
      </c>
      <c r="F256">
        <v>154.9</v>
      </c>
      <c r="G256">
        <v>150.1</v>
      </c>
      <c r="H256">
        <v>129.9</v>
      </c>
      <c r="I256">
        <v>143.19999999999999</v>
      </c>
      <c r="J256">
        <v>197</v>
      </c>
      <c r="K256">
        <v>140.4</v>
      </c>
      <c r="L256">
        <v>114.1</v>
      </c>
      <c r="M256">
        <v>150.9</v>
      </c>
      <c r="N256">
        <v>136.1</v>
      </c>
      <c r="O256">
        <v>158.6</v>
      </c>
      <c r="P256">
        <v>153.5</v>
      </c>
      <c r="Q256">
        <v>169.2</v>
      </c>
      <c r="R256">
        <v>150.5</v>
      </c>
      <c r="S256">
        <v>141.5</v>
      </c>
      <c r="T256">
        <v>149.19999999999999</v>
      </c>
      <c r="U256">
        <v>153.9</v>
      </c>
      <c r="V256">
        <v>144.6</v>
      </c>
      <c r="W256">
        <v>146.19999999999999</v>
      </c>
      <c r="X256">
        <v>151.19999999999999</v>
      </c>
      <c r="Y256">
        <v>130.9</v>
      </c>
      <c r="Z256">
        <v>142.80000000000001</v>
      </c>
      <c r="AA256">
        <v>156.1</v>
      </c>
      <c r="AB256">
        <v>142.30000000000001</v>
      </c>
      <c r="AC256">
        <v>143.4</v>
      </c>
      <c r="AD256">
        <v>150.19999999999999</v>
      </c>
    </row>
    <row r="257" spans="1:30" x14ac:dyDescent="0.3">
      <c r="A257" t="s">
        <v>41</v>
      </c>
      <c r="B257">
        <v>2020</v>
      </c>
      <c r="C257" t="s">
        <v>57</v>
      </c>
      <c r="D257">
        <v>144.19999999999999</v>
      </c>
      <c r="E257">
        <v>167.5</v>
      </c>
      <c r="F257">
        <v>150.9</v>
      </c>
      <c r="G257">
        <v>150.9</v>
      </c>
      <c r="H257">
        <v>133.69999999999999</v>
      </c>
      <c r="I257">
        <v>140.69999999999999</v>
      </c>
      <c r="J257">
        <v>165.1</v>
      </c>
      <c r="K257">
        <v>141.80000000000001</v>
      </c>
      <c r="L257">
        <v>113.1</v>
      </c>
      <c r="M257">
        <v>152.80000000000001</v>
      </c>
      <c r="N257">
        <v>140.1</v>
      </c>
      <c r="O257">
        <v>159.19999999999999</v>
      </c>
      <c r="P257">
        <v>149.80000000000001</v>
      </c>
      <c r="Q257">
        <v>169.4</v>
      </c>
      <c r="R257">
        <v>153</v>
      </c>
      <c r="S257">
        <v>147.5</v>
      </c>
      <c r="T257">
        <v>152.30000000000001</v>
      </c>
      <c r="U257" t="s">
        <v>67</v>
      </c>
      <c r="V257">
        <v>152.30000000000001</v>
      </c>
      <c r="W257">
        <v>151.80000000000001</v>
      </c>
      <c r="X257">
        <v>156.19999999999999</v>
      </c>
      <c r="Y257">
        <v>136</v>
      </c>
      <c r="Z257">
        <v>150.4</v>
      </c>
      <c r="AA257">
        <v>161.9</v>
      </c>
      <c r="AB257">
        <v>143.4</v>
      </c>
      <c r="AC257">
        <v>148.4</v>
      </c>
      <c r="AD257">
        <v>150.4</v>
      </c>
    </row>
    <row r="258" spans="1:30" x14ac:dyDescent="0.3">
      <c r="A258" t="s">
        <v>44</v>
      </c>
      <c r="B258">
        <v>2020</v>
      </c>
      <c r="C258" t="s">
        <v>57</v>
      </c>
      <c r="D258">
        <v>146.19999999999999</v>
      </c>
      <c r="E258">
        <v>167.6</v>
      </c>
      <c r="F258">
        <v>153.1</v>
      </c>
      <c r="G258">
        <v>150.69999999999999</v>
      </c>
      <c r="H258">
        <v>127.4</v>
      </c>
      <c r="I258">
        <v>143.1</v>
      </c>
      <c r="J258">
        <v>181.7</v>
      </c>
      <c r="K258">
        <v>139.6</v>
      </c>
      <c r="L258">
        <v>114.6</v>
      </c>
      <c r="M258">
        <v>150.4</v>
      </c>
      <c r="N258">
        <v>131.5</v>
      </c>
      <c r="O258">
        <v>159</v>
      </c>
      <c r="P258">
        <v>151.69999999999999</v>
      </c>
      <c r="Q258">
        <v>172</v>
      </c>
      <c r="R258">
        <v>147.30000000000001</v>
      </c>
      <c r="S258">
        <v>133.5</v>
      </c>
      <c r="T258">
        <v>145.19999999999999</v>
      </c>
      <c r="U258">
        <v>154.80000000000001</v>
      </c>
      <c r="V258">
        <v>138.9</v>
      </c>
      <c r="W258">
        <v>140.4</v>
      </c>
      <c r="X258">
        <v>144.4</v>
      </c>
      <c r="Y258">
        <v>125.2</v>
      </c>
      <c r="Z258">
        <v>137.69999999999999</v>
      </c>
      <c r="AA258">
        <v>152.19999999999999</v>
      </c>
      <c r="AB258">
        <v>143.5</v>
      </c>
      <c r="AC258">
        <v>138.4</v>
      </c>
      <c r="AD258">
        <v>147.69999999999999</v>
      </c>
    </row>
    <row r="259" spans="1:30" x14ac:dyDescent="0.3">
      <c r="A259" t="s">
        <v>45</v>
      </c>
      <c r="B259">
        <v>2020</v>
      </c>
      <c r="C259" t="s">
        <v>57</v>
      </c>
      <c r="D259">
        <v>144.80000000000001</v>
      </c>
      <c r="E259">
        <v>167.5</v>
      </c>
      <c r="F259">
        <v>151.80000000000001</v>
      </c>
      <c r="G259">
        <v>150.80000000000001</v>
      </c>
      <c r="H259">
        <v>131.4</v>
      </c>
      <c r="I259">
        <v>141.80000000000001</v>
      </c>
      <c r="J259">
        <v>170.7</v>
      </c>
      <c r="K259">
        <v>141.1</v>
      </c>
      <c r="L259">
        <v>113.6</v>
      </c>
      <c r="M259">
        <v>152</v>
      </c>
      <c r="N259">
        <v>136.5</v>
      </c>
      <c r="O259">
        <v>159.1</v>
      </c>
      <c r="P259">
        <v>150.5</v>
      </c>
      <c r="Q259">
        <v>170.1</v>
      </c>
      <c r="R259">
        <v>150.80000000000001</v>
      </c>
      <c r="S259">
        <v>141.69999999999999</v>
      </c>
      <c r="T259">
        <v>149.5</v>
      </c>
      <c r="U259">
        <v>154.80000000000001</v>
      </c>
      <c r="V259">
        <v>147.19999999999999</v>
      </c>
      <c r="W259">
        <v>146.4</v>
      </c>
      <c r="X259">
        <v>151.69999999999999</v>
      </c>
      <c r="Y259">
        <v>130.30000000000001</v>
      </c>
      <c r="Z259">
        <v>143.19999999999999</v>
      </c>
      <c r="AA259">
        <v>156.19999999999999</v>
      </c>
      <c r="AB259">
        <v>143.4</v>
      </c>
      <c r="AC259">
        <v>143.6</v>
      </c>
      <c r="AD259">
        <v>149.1</v>
      </c>
    </row>
    <row r="260" spans="1:30" x14ac:dyDescent="0.3">
      <c r="A260" t="s">
        <v>41</v>
      </c>
      <c r="B260">
        <v>2020</v>
      </c>
      <c r="C260" t="s">
        <v>58</v>
      </c>
      <c r="D260">
        <v>144.4</v>
      </c>
      <c r="E260">
        <v>166.8</v>
      </c>
      <c r="F260">
        <v>147.6</v>
      </c>
      <c r="G260">
        <v>151.69999999999999</v>
      </c>
      <c r="H260">
        <v>133.30000000000001</v>
      </c>
      <c r="I260">
        <v>141.80000000000001</v>
      </c>
      <c r="J260">
        <v>152.30000000000001</v>
      </c>
      <c r="K260">
        <v>141.80000000000001</v>
      </c>
      <c r="L260">
        <v>112.6</v>
      </c>
      <c r="M260">
        <v>154</v>
      </c>
      <c r="N260">
        <v>140.1</v>
      </c>
      <c r="O260">
        <v>160</v>
      </c>
      <c r="P260">
        <v>148.19999999999999</v>
      </c>
      <c r="Q260">
        <v>170.5</v>
      </c>
      <c r="R260">
        <v>153.4</v>
      </c>
      <c r="S260">
        <v>147.6</v>
      </c>
      <c r="T260">
        <v>152.5</v>
      </c>
      <c r="U260" t="s">
        <v>67</v>
      </c>
      <c r="V260">
        <v>153.4</v>
      </c>
      <c r="W260">
        <v>151.5</v>
      </c>
      <c r="X260">
        <v>156.69999999999999</v>
      </c>
      <c r="Y260">
        <v>135.80000000000001</v>
      </c>
      <c r="Z260">
        <v>151.19999999999999</v>
      </c>
      <c r="AA260">
        <v>161.19999999999999</v>
      </c>
      <c r="AB260">
        <v>145.1</v>
      </c>
      <c r="AC260">
        <v>148.6</v>
      </c>
      <c r="AD260">
        <v>149.80000000000001</v>
      </c>
    </row>
    <row r="261" spans="1:30" x14ac:dyDescent="0.3">
      <c r="A261" t="s">
        <v>44</v>
      </c>
      <c r="B261">
        <v>2020</v>
      </c>
      <c r="C261" t="s">
        <v>58</v>
      </c>
      <c r="D261">
        <v>146.5</v>
      </c>
      <c r="E261">
        <v>167.5</v>
      </c>
      <c r="F261">
        <v>148.9</v>
      </c>
      <c r="G261">
        <v>151.1</v>
      </c>
      <c r="H261">
        <v>127.5</v>
      </c>
      <c r="I261">
        <v>143.30000000000001</v>
      </c>
      <c r="J261">
        <v>167</v>
      </c>
      <c r="K261">
        <v>139.69999999999999</v>
      </c>
      <c r="L261">
        <v>114.4</v>
      </c>
      <c r="M261">
        <v>151.5</v>
      </c>
      <c r="N261">
        <v>131.9</v>
      </c>
      <c r="O261">
        <v>159.1</v>
      </c>
      <c r="P261">
        <v>150.1</v>
      </c>
      <c r="Q261">
        <v>173.3</v>
      </c>
      <c r="R261">
        <v>147.69999999999999</v>
      </c>
      <c r="S261">
        <v>133.80000000000001</v>
      </c>
      <c r="T261">
        <v>145.6</v>
      </c>
      <c r="U261">
        <v>154.5</v>
      </c>
      <c r="V261">
        <v>141.4</v>
      </c>
      <c r="W261">
        <v>140.80000000000001</v>
      </c>
      <c r="X261">
        <v>145</v>
      </c>
      <c r="Y261">
        <v>124.6</v>
      </c>
      <c r="Z261">
        <v>137.9</v>
      </c>
      <c r="AA261">
        <v>152.5</v>
      </c>
      <c r="AB261">
        <v>145.30000000000001</v>
      </c>
      <c r="AC261">
        <v>138.69999999999999</v>
      </c>
      <c r="AD261">
        <v>147.30000000000001</v>
      </c>
    </row>
    <row r="262" spans="1:30" x14ac:dyDescent="0.3">
      <c r="A262" t="s">
        <v>45</v>
      </c>
      <c r="B262">
        <v>2020</v>
      </c>
      <c r="C262" t="s">
        <v>58</v>
      </c>
      <c r="D262">
        <v>145.1</v>
      </c>
      <c r="E262">
        <v>167</v>
      </c>
      <c r="F262">
        <v>148.1</v>
      </c>
      <c r="G262">
        <v>151.5</v>
      </c>
      <c r="H262">
        <v>131.19999999999999</v>
      </c>
      <c r="I262">
        <v>142.5</v>
      </c>
      <c r="J262">
        <v>157.30000000000001</v>
      </c>
      <c r="K262">
        <v>141.1</v>
      </c>
      <c r="L262">
        <v>113.2</v>
      </c>
      <c r="M262">
        <v>153.19999999999999</v>
      </c>
      <c r="N262">
        <v>136.69999999999999</v>
      </c>
      <c r="O262">
        <v>159.6</v>
      </c>
      <c r="P262">
        <v>148.9</v>
      </c>
      <c r="Q262">
        <v>171.2</v>
      </c>
      <c r="R262">
        <v>151.19999999999999</v>
      </c>
      <c r="S262">
        <v>141.9</v>
      </c>
      <c r="T262">
        <v>149.80000000000001</v>
      </c>
      <c r="U262">
        <v>154.5</v>
      </c>
      <c r="V262">
        <v>148.9</v>
      </c>
      <c r="W262">
        <v>146.4</v>
      </c>
      <c r="X262">
        <v>152.30000000000001</v>
      </c>
      <c r="Y262">
        <v>129.9</v>
      </c>
      <c r="Z262">
        <v>143.69999999999999</v>
      </c>
      <c r="AA262">
        <v>156.1</v>
      </c>
      <c r="AB262">
        <v>145.19999999999999</v>
      </c>
      <c r="AC262">
        <v>143.80000000000001</v>
      </c>
      <c r="AD262">
        <v>148.6</v>
      </c>
    </row>
    <row r="263" spans="1:30" x14ac:dyDescent="0.3">
      <c r="A263" t="s">
        <v>41</v>
      </c>
      <c r="B263">
        <v>2020</v>
      </c>
      <c r="C263" t="s">
        <v>59</v>
      </c>
      <c r="D263">
        <v>147.19999999999999</v>
      </c>
      <c r="E263" s="58">
        <f>SUM($E$260,$E$257,$E$254)/3</f>
        <v>167.20000000000002</v>
      </c>
      <c r="F263">
        <v>146.9</v>
      </c>
      <c r="G263">
        <v>155.6</v>
      </c>
      <c r="H263">
        <v>137.1</v>
      </c>
      <c r="I263">
        <v>147.30000000000001</v>
      </c>
      <c r="J263">
        <v>162.69999999999999</v>
      </c>
      <c r="K263">
        <v>150.19999999999999</v>
      </c>
      <c r="L263">
        <v>119.8</v>
      </c>
      <c r="M263">
        <v>158.69999999999999</v>
      </c>
      <c r="N263">
        <v>139.19999999999999</v>
      </c>
      <c r="O263" s="58">
        <f>SUM(O254,O257,O260)/3</f>
        <v>159.29999999999998</v>
      </c>
      <c r="P263">
        <v>150.1</v>
      </c>
      <c r="U263" t="s">
        <v>67</v>
      </c>
      <c r="V263">
        <v>148.4</v>
      </c>
      <c r="X263">
        <v>154.30000000000001</v>
      </c>
      <c r="Y263" s="23">
        <f>SUM(Y260,Y257,Y254)/3</f>
        <v>136.03333333333333</v>
      </c>
      <c r="Z263" s="23">
        <f t="shared" ref="Z263:AD265" si="0">SUM(Z260,Z257,Z254)/3</f>
        <v>150.56666666666669</v>
      </c>
      <c r="AA263" s="58">
        <f t="shared" si="0"/>
        <v>161.6</v>
      </c>
      <c r="AB263" s="23">
        <f t="shared" si="0"/>
        <v>143.66666666666666</v>
      </c>
      <c r="AC263" s="23">
        <f t="shared" si="0"/>
        <v>148.36666666666667</v>
      </c>
      <c r="AD263" s="58">
        <f t="shared" si="0"/>
        <v>150.70000000000002</v>
      </c>
    </row>
    <row r="264" spans="1:30" x14ac:dyDescent="0.3">
      <c r="A264" t="s">
        <v>44</v>
      </c>
      <c r="B264">
        <v>2020</v>
      </c>
      <c r="C264" t="s">
        <v>59</v>
      </c>
      <c r="D264">
        <v>151.80000000000001</v>
      </c>
      <c r="E264" s="23">
        <f>SUM(E261,E258,E255)/3</f>
        <v>167.56666666666669</v>
      </c>
      <c r="F264">
        <v>151.9</v>
      </c>
      <c r="G264">
        <v>155.5</v>
      </c>
      <c r="H264">
        <v>131.6</v>
      </c>
      <c r="I264">
        <v>152.9</v>
      </c>
      <c r="J264">
        <v>180</v>
      </c>
      <c r="K264">
        <v>150.80000000000001</v>
      </c>
      <c r="L264">
        <v>121.2</v>
      </c>
      <c r="M264">
        <v>154</v>
      </c>
      <c r="N264">
        <v>133.5</v>
      </c>
      <c r="O264" s="60">
        <f>SUM(O255,O258,O261)/3</f>
        <v>158.86666666666667</v>
      </c>
      <c r="P264">
        <v>153.5</v>
      </c>
      <c r="U264">
        <v>155.6</v>
      </c>
      <c r="V264">
        <v>137.1</v>
      </c>
      <c r="X264">
        <v>144.80000000000001</v>
      </c>
      <c r="Y264" s="58">
        <f>SUM(Y261,Y258,Y255)/3</f>
        <v>125.3</v>
      </c>
      <c r="Z264" s="58">
        <f t="shared" si="0"/>
        <v>137.6</v>
      </c>
      <c r="AA264" s="23">
        <f t="shared" si="0"/>
        <v>152.26666666666665</v>
      </c>
      <c r="AB264" s="23">
        <f t="shared" si="0"/>
        <v>143.63333333333333</v>
      </c>
      <c r="AC264" s="58">
        <f t="shared" si="0"/>
        <v>138.5</v>
      </c>
      <c r="AD264" s="23">
        <f t="shared" si="0"/>
        <v>147.73333333333332</v>
      </c>
    </row>
    <row r="265" spans="1:30" x14ac:dyDescent="0.3">
      <c r="A265" t="s">
        <v>45</v>
      </c>
      <c r="B265">
        <v>2020</v>
      </c>
      <c r="C265" t="s">
        <v>59</v>
      </c>
      <c r="D265">
        <v>148.69999999999999</v>
      </c>
      <c r="E265" s="58">
        <f>SUM(E262,E259,E256)/3</f>
        <v>167.29999999999998</v>
      </c>
      <c r="F265">
        <v>148.80000000000001</v>
      </c>
      <c r="G265">
        <v>155.6</v>
      </c>
      <c r="H265">
        <v>135.1</v>
      </c>
      <c r="I265">
        <v>149.9</v>
      </c>
      <c r="J265">
        <v>168.6</v>
      </c>
      <c r="K265">
        <v>150.4</v>
      </c>
      <c r="L265">
        <v>120.3</v>
      </c>
      <c r="M265">
        <v>157.1</v>
      </c>
      <c r="N265">
        <v>136.80000000000001</v>
      </c>
      <c r="O265" s="58">
        <f>SUM(O256,O259,O262)/3</f>
        <v>159.1</v>
      </c>
      <c r="P265">
        <v>151.4</v>
      </c>
      <c r="U265">
        <v>155.6</v>
      </c>
      <c r="V265">
        <v>144.1</v>
      </c>
      <c r="X265">
        <v>150.69999999999999</v>
      </c>
      <c r="Y265" s="23">
        <f>SUM(Y262,Y259,Y256)/3</f>
        <v>130.36666666666667</v>
      </c>
      <c r="Z265" s="23">
        <f t="shared" si="0"/>
        <v>143.23333333333332</v>
      </c>
      <c r="AA265" s="58">
        <f t="shared" si="0"/>
        <v>156.13333333333333</v>
      </c>
      <c r="AB265" s="23">
        <f t="shared" si="0"/>
        <v>143.63333333333335</v>
      </c>
      <c r="AC265" s="58">
        <f t="shared" si="0"/>
        <v>143.6</v>
      </c>
      <c r="AD265" s="58">
        <f t="shared" si="0"/>
        <v>149.29999999999998</v>
      </c>
    </row>
    <row r="266" spans="1:30" x14ac:dyDescent="0.3">
      <c r="A266" s="14" t="s">
        <v>41</v>
      </c>
      <c r="B266" s="14">
        <v>2020</v>
      </c>
      <c r="C266" s="14" t="s">
        <v>42</v>
      </c>
      <c r="D266" s="59">
        <v>146.63333333333333</v>
      </c>
      <c r="E266" s="59">
        <v>189.26666666666665</v>
      </c>
      <c r="F266" s="14">
        <v>148.80000000000001</v>
      </c>
      <c r="G266" s="14">
        <v>155.6</v>
      </c>
      <c r="H266" s="14">
        <v>135.1</v>
      </c>
      <c r="I266" s="14">
        <v>149.9</v>
      </c>
      <c r="J266" s="14">
        <v>168.6</v>
      </c>
      <c r="K266" s="14">
        <v>150.4</v>
      </c>
      <c r="L266" s="14">
        <v>120.3</v>
      </c>
      <c r="M266" s="14">
        <v>157.1</v>
      </c>
      <c r="N266" s="14">
        <v>136.80000000000001</v>
      </c>
      <c r="O266" s="14">
        <f>(SUM(O257,O260,O263)+SUM(O269,O272,O275))/6</f>
        <v>160.6</v>
      </c>
      <c r="P266" s="14">
        <v>151.4</v>
      </c>
      <c r="Q266" s="14"/>
      <c r="R266" s="14"/>
      <c r="S266" s="14"/>
      <c r="T266" s="14"/>
      <c r="U266" s="14">
        <v>155.6</v>
      </c>
      <c r="V266" s="14">
        <v>144.1</v>
      </c>
      <c r="W266" s="14"/>
      <c r="X266" s="14">
        <v>150.69999999999999</v>
      </c>
      <c r="Y266" s="23">
        <f>(SUM(Y263,Y260,Y257)+SUM(Y269,Y272,Y275))/6</f>
        <v>139.03888888888889</v>
      </c>
      <c r="Z266" s="23">
        <f>(SUM(Z263,Z260,Z257)+SUM(Z269,Z272,Z275))/6</f>
        <v>151.79444444444445</v>
      </c>
      <c r="AA266" s="58">
        <v>156.1</v>
      </c>
      <c r="AB266" s="58">
        <v>145.19999999999999</v>
      </c>
      <c r="AC266" s="58">
        <v>143.80000000000001</v>
      </c>
      <c r="AD266" s="58">
        <v>148.6</v>
      </c>
    </row>
    <row r="267" spans="1:30" x14ac:dyDescent="0.3">
      <c r="A267" s="14" t="s">
        <v>44</v>
      </c>
      <c r="B267" s="14">
        <v>2020</v>
      </c>
      <c r="C267" s="14" t="s">
        <v>42</v>
      </c>
      <c r="D267" s="59">
        <v>150.25</v>
      </c>
      <c r="E267" s="59">
        <v>197.26666666666665</v>
      </c>
      <c r="F267" s="14">
        <v>148.80000000000001</v>
      </c>
      <c r="G267" s="14">
        <v>155.6</v>
      </c>
      <c r="H267" s="14">
        <v>135.1</v>
      </c>
      <c r="I267" s="14">
        <v>149.9</v>
      </c>
      <c r="J267" s="14">
        <v>168.6</v>
      </c>
      <c r="K267" s="14">
        <v>150.4</v>
      </c>
      <c r="L267" s="14">
        <v>120.3</v>
      </c>
      <c r="M267" s="14">
        <v>157.1</v>
      </c>
      <c r="N267" s="14">
        <v>136.80000000000001</v>
      </c>
      <c r="O267" s="59">
        <f>(SUM(O258,O261,O264)+SUM(O270,O273,O276))/6</f>
        <v>160.61111111111111</v>
      </c>
      <c r="P267" s="14">
        <v>151.4</v>
      </c>
      <c r="Q267" s="14"/>
      <c r="R267" s="14"/>
      <c r="S267" s="14"/>
      <c r="T267" s="14"/>
      <c r="U267" s="14">
        <v>155.6</v>
      </c>
      <c r="V267" s="14">
        <v>144.1</v>
      </c>
      <c r="W267" s="14"/>
      <c r="X267" s="14">
        <v>150.69999999999999</v>
      </c>
      <c r="Y267" s="58"/>
      <c r="Z267" s="58"/>
      <c r="AA267" s="58"/>
      <c r="AB267" s="58"/>
      <c r="AC267" s="58"/>
      <c r="AD267" s="58" t="s">
        <v>67</v>
      </c>
    </row>
    <row r="268" spans="1:30" x14ac:dyDescent="0.3">
      <c r="A268" s="14" t="s">
        <v>45</v>
      </c>
      <c r="B268" s="14">
        <v>2020</v>
      </c>
      <c r="C268" s="14" t="s">
        <v>42</v>
      </c>
      <c r="D268" s="59">
        <v>147.78333333333333</v>
      </c>
      <c r="E268" s="14">
        <v>192.1</v>
      </c>
      <c r="F268" s="14">
        <v>148.80000000000001</v>
      </c>
      <c r="G268" s="14">
        <v>155.6</v>
      </c>
      <c r="H268" s="14">
        <v>135.1</v>
      </c>
      <c r="I268" s="14">
        <v>149.9</v>
      </c>
      <c r="J268" s="14">
        <v>168.6</v>
      </c>
      <c r="K268" s="14">
        <v>150.4</v>
      </c>
      <c r="L268" s="14">
        <v>120.3</v>
      </c>
      <c r="M268" s="14">
        <v>157.1</v>
      </c>
      <c r="N268" s="14">
        <v>136.80000000000001</v>
      </c>
      <c r="O268" s="59">
        <f>(SUM(O259,O262,O265)+SUM(O271,O274,O277))/6</f>
        <v>160.61666666666667</v>
      </c>
      <c r="P268" s="14">
        <v>151.4</v>
      </c>
      <c r="Q268" s="14"/>
      <c r="R268" s="14"/>
      <c r="S268" s="14"/>
      <c r="T268" s="14"/>
      <c r="U268" s="14">
        <v>155.6</v>
      </c>
      <c r="V268" s="14">
        <v>144.1</v>
      </c>
      <c r="W268" s="14"/>
      <c r="X268" s="14">
        <v>150.69999999999999</v>
      </c>
      <c r="Y268" s="58"/>
      <c r="Z268" s="58"/>
      <c r="AA268" s="58"/>
      <c r="AB268" s="58"/>
      <c r="AC268" s="58"/>
      <c r="AD268" s="58" t="s">
        <v>67</v>
      </c>
    </row>
    <row r="269" spans="1:30" x14ac:dyDescent="0.3">
      <c r="A269" t="s">
        <v>41</v>
      </c>
      <c r="B269">
        <v>2020</v>
      </c>
      <c r="C269" t="s">
        <v>60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67</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44</v>
      </c>
      <c r="B270">
        <v>2020</v>
      </c>
      <c r="C270" t="s">
        <v>60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45</v>
      </c>
      <c r="B271">
        <v>2020</v>
      </c>
      <c r="C271" t="s">
        <v>60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41</v>
      </c>
      <c r="B272">
        <v>2020</v>
      </c>
      <c r="C272" t="s">
        <v>61</v>
      </c>
      <c r="D272">
        <v>148.19999999999999</v>
      </c>
      <c r="E272">
        <v>190.3</v>
      </c>
      <c r="F272">
        <v>149.4</v>
      </c>
      <c r="G272">
        <v>153.30000000000001</v>
      </c>
      <c r="H272">
        <v>138.19999999999999</v>
      </c>
      <c r="I272">
        <v>143.19999999999999</v>
      </c>
      <c r="J272">
        <v>148.9</v>
      </c>
      <c r="K272">
        <v>150.30000000000001</v>
      </c>
      <c r="L272">
        <v>113.2</v>
      </c>
      <c r="M272">
        <v>159.80000000000001</v>
      </c>
      <c r="N272">
        <v>142.1</v>
      </c>
      <c r="O272">
        <v>161.80000000000001</v>
      </c>
      <c r="P272">
        <v>152.30000000000001</v>
      </c>
      <c r="Q272">
        <v>182.4</v>
      </c>
      <c r="R272">
        <v>154.69999999999999</v>
      </c>
      <c r="S272">
        <v>150</v>
      </c>
      <c r="T272">
        <v>154.1</v>
      </c>
      <c r="U272" t="s">
        <v>67</v>
      </c>
      <c r="V272">
        <v>144.9</v>
      </c>
      <c r="W272">
        <v>151.69999999999999</v>
      </c>
      <c r="X272">
        <v>158.19999999999999</v>
      </c>
      <c r="Y272">
        <v>141.4</v>
      </c>
      <c r="Z272">
        <v>153.19999999999999</v>
      </c>
      <c r="AA272">
        <v>161.80000000000001</v>
      </c>
      <c r="AB272">
        <v>151.19999999999999</v>
      </c>
      <c r="AC272">
        <v>151.69999999999999</v>
      </c>
      <c r="AD272">
        <v>152.69999999999999</v>
      </c>
    </row>
    <row r="273" spans="1:30" x14ac:dyDescent="0.3">
      <c r="A273" t="s">
        <v>44</v>
      </c>
      <c r="B273">
        <v>2020</v>
      </c>
      <c r="C273" t="s">
        <v>61</v>
      </c>
      <c r="D273">
        <v>152.69999999999999</v>
      </c>
      <c r="E273">
        <v>197</v>
      </c>
      <c r="F273">
        <v>154.6</v>
      </c>
      <c r="G273">
        <v>153.4</v>
      </c>
      <c r="H273">
        <v>132.9</v>
      </c>
      <c r="I273">
        <v>151.80000000000001</v>
      </c>
      <c r="J273">
        <v>171.2</v>
      </c>
      <c r="K273">
        <v>152</v>
      </c>
      <c r="L273">
        <v>116.3</v>
      </c>
      <c r="M273">
        <v>158.80000000000001</v>
      </c>
      <c r="N273">
        <v>135.6</v>
      </c>
      <c r="O273">
        <v>161.69999999999999</v>
      </c>
      <c r="P273">
        <v>157</v>
      </c>
      <c r="Q273">
        <v>186.7</v>
      </c>
      <c r="R273">
        <v>149.1</v>
      </c>
      <c r="S273">
        <v>136.6</v>
      </c>
      <c r="T273">
        <v>147.19999999999999</v>
      </c>
      <c r="U273">
        <v>154.69999999999999</v>
      </c>
      <c r="V273">
        <v>137.1</v>
      </c>
      <c r="W273">
        <v>140.4</v>
      </c>
      <c r="X273">
        <v>148.1</v>
      </c>
      <c r="Y273">
        <v>129.30000000000001</v>
      </c>
      <c r="Z273">
        <v>144.5</v>
      </c>
      <c r="AA273">
        <v>152.5</v>
      </c>
      <c r="AB273">
        <v>152.19999999999999</v>
      </c>
      <c r="AC273">
        <v>142</v>
      </c>
      <c r="AD273">
        <v>150.80000000000001</v>
      </c>
    </row>
    <row r="274" spans="1:30" x14ac:dyDescent="0.3">
      <c r="A274" t="s">
        <v>45</v>
      </c>
      <c r="B274">
        <v>2020</v>
      </c>
      <c r="C274" t="s">
        <v>61</v>
      </c>
      <c r="D274">
        <v>149.6</v>
      </c>
      <c r="E274">
        <v>192.7</v>
      </c>
      <c r="F274">
        <v>151.4</v>
      </c>
      <c r="G274">
        <v>153.30000000000001</v>
      </c>
      <c r="H274">
        <v>136.30000000000001</v>
      </c>
      <c r="I274">
        <v>147.19999999999999</v>
      </c>
      <c r="J274">
        <v>156.5</v>
      </c>
      <c r="K274">
        <v>150.9</v>
      </c>
      <c r="L274">
        <v>114.2</v>
      </c>
      <c r="M274">
        <v>159.5</v>
      </c>
      <c r="N274">
        <v>139.4</v>
      </c>
      <c r="O274">
        <v>161.80000000000001</v>
      </c>
      <c r="P274">
        <v>154</v>
      </c>
      <c r="Q274">
        <v>183.5</v>
      </c>
      <c r="R274">
        <v>152.5</v>
      </c>
      <c r="S274">
        <v>144.4</v>
      </c>
      <c r="T274">
        <v>151.4</v>
      </c>
      <c r="U274">
        <v>154.69999999999999</v>
      </c>
      <c r="V274">
        <v>141.9</v>
      </c>
      <c r="W274">
        <v>146.4</v>
      </c>
      <c r="X274">
        <v>154.4</v>
      </c>
      <c r="Y274">
        <v>135</v>
      </c>
      <c r="Z274">
        <v>148.30000000000001</v>
      </c>
      <c r="AA274">
        <v>156.4</v>
      </c>
      <c r="AB274">
        <v>151.6</v>
      </c>
      <c r="AC274">
        <v>147</v>
      </c>
      <c r="AD274">
        <v>151.80000000000001</v>
      </c>
    </row>
    <row r="275" spans="1:30" x14ac:dyDescent="0.3">
      <c r="A275" t="s">
        <v>41</v>
      </c>
      <c r="B275">
        <v>2020</v>
      </c>
      <c r="C275" t="s">
        <v>62</v>
      </c>
      <c r="D275">
        <v>147.6</v>
      </c>
      <c r="E275">
        <v>187.2</v>
      </c>
      <c r="F275">
        <v>148.4</v>
      </c>
      <c r="G275">
        <v>153.30000000000001</v>
      </c>
      <c r="H275">
        <v>139.80000000000001</v>
      </c>
      <c r="I275">
        <v>146.9</v>
      </c>
      <c r="J275">
        <v>171</v>
      </c>
      <c r="K275">
        <v>149.9</v>
      </c>
      <c r="L275">
        <v>114.2</v>
      </c>
      <c r="M275">
        <v>160</v>
      </c>
      <c r="N275">
        <v>143.5</v>
      </c>
      <c r="O275">
        <v>161.5</v>
      </c>
      <c r="P275">
        <v>155.30000000000001</v>
      </c>
      <c r="Q275">
        <v>180.9</v>
      </c>
      <c r="R275">
        <v>155.1</v>
      </c>
      <c r="S275">
        <v>149.30000000000001</v>
      </c>
      <c r="T275">
        <v>154.30000000000001</v>
      </c>
      <c r="U275" t="s">
        <v>67</v>
      </c>
      <c r="V275">
        <v>145.80000000000001</v>
      </c>
      <c r="W275">
        <v>151.9</v>
      </c>
      <c r="X275">
        <v>158.80000000000001</v>
      </c>
      <c r="Y275">
        <v>143.6</v>
      </c>
      <c r="Z275">
        <v>152.19999999999999</v>
      </c>
      <c r="AA275">
        <v>162.69999999999999</v>
      </c>
      <c r="AB275">
        <v>153.6</v>
      </c>
      <c r="AC275">
        <v>153</v>
      </c>
      <c r="AD275">
        <v>154.69999999999999</v>
      </c>
    </row>
    <row r="276" spans="1:30" x14ac:dyDescent="0.3">
      <c r="A276" t="s">
        <v>44</v>
      </c>
      <c r="B276">
        <v>2020</v>
      </c>
      <c r="C276" t="s">
        <v>62</v>
      </c>
      <c r="D276">
        <v>151.6</v>
      </c>
      <c r="E276">
        <v>197.8</v>
      </c>
      <c r="F276">
        <v>154.5</v>
      </c>
      <c r="G276">
        <v>153.4</v>
      </c>
      <c r="H276">
        <v>133.4</v>
      </c>
      <c r="I276">
        <v>154.5</v>
      </c>
      <c r="J276">
        <v>191.9</v>
      </c>
      <c r="K276">
        <v>151.30000000000001</v>
      </c>
      <c r="L276">
        <v>116.8</v>
      </c>
      <c r="M276">
        <v>160</v>
      </c>
      <c r="N276">
        <v>136.5</v>
      </c>
      <c r="O276">
        <v>163.30000000000001</v>
      </c>
      <c r="P276">
        <v>159.9</v>
      </c>
      <c r="Q276">
        <v>187.2</v>
      </c>
      <c r="R276">
        <v>150</v>
      </c>
      <c r="S276">
        <v>135.19999999999999</v>
      </c>
      <c r="T276">
        <v>147.80000000000001</v>
      </c>
      <c r="U276">
        <v>155.5</v>
      </c>
      <c r="V276">
        <v>138.30000000000001</v>
      </c>
      <c r="W276">
        <v>144.5</v>
      </c>
      <c r="X276">
        <v>148.69999999999999</v>
      </c>
      <c r="Y276">
        <v>133.9</v>
      </c>
      <c r="Z276">
        <v>141.19999999999999</v>
      </c>
      <c r="AA276">
        <v>155.5</v>
      </c>
      <c r="AB276">
        <v>155.19999999999999</v>
      </c>
      <c r="AC276">
        <v>144.80000000000001</v>
      </c>
      <c r="AD276">
        <v>152.9</v>
      </c>
    </row>
    <row r="277" spans="1:30" x14ac:dyDescent="0.3">
      <c r="A277" t="s">
        <v>45</v>
      </c>
      <c r="B277">
        <v>2020</v>
      </c>
      <c r="C277" t="s">
        <v>62</v>
      </c>
      <c r="D277">
        <v>148.9</v>
      </c>
      <c r="E277">
        <v>190.9</v>
      </c>
      <c r="F277">
        <v>150.80000000000001</v>
      </c>
      <c r="G277">
        <v>153.30000000000001</v>
      </c>
      <c r="H277">
        <v>137.4</v>
      </c>
      <c r="I277">
        <v>150.4</v>
      </c>
      <c r="J277">
        <v>178.1</v>
      </c>
      <c r="K277">
        <v>150.4</v>
      </c>
      <c r="L277">
        <v>115.1</v>
      </c>
      <c r="M277">
        <v>160</v>
      </c>
      <c r="N277">
        <v>140.6</v>
      </c>
      <c r="O277">
        <v>162.30000000000001</v>
      </c>
      <c r="P277">
        <v>157</v>
      </c>
      <c r="Q277">
        <v>182.6</v>
      </c>
      <c r="R277">
        <v>153.1</v>
      </c>
      <c r="S277">
        <v>143.4</v>
      </c>
      <c r="T277">
        <v>151.69999999999999</v>
      </c>
      <c r="U277">
        <v>155.5</v>
      </c>
      <c r="V277">
        <v>143</v>
      </c>
      <c r="W277">
        <v>148.4</v>
      </c>
      <c r="X277">
        <v>155</v>
      </c>
      <c r="Y277">
        <v>138.5</v>
      </c>
      <c r="Z277">
        <v>146</v>
      </c>
      <c r="AA277">
        <v>158.5</v>
      </c>
      <c r="AB277">
        <v>154.30000000000001</v>
      </c>
      <c r="AC277">
        <v>149</v>
      </c>
      <c r="AD277">
        <v>153.9</v>
      </c>
    </row>
    <row r="278" spans="1:30" x14ac:dyDescent="0.3">
      <c r="A278" t="s">
        <v>41</v>
      </c>
      <c r="B278">
        <v>2020</v>
      </c>
      <c r="C278" t="s">
        <v>63</v>
      </c>
      <c r="D278">
        <v>146.9</v>
      </c>
      <c r="E278">
        <v>183.9</v>
      </c>
      <c r="F278">
        <v>149.5</v>
      </c>
      <c r="G278">
        <v>153.4</v>
      </c>
      <c r="H278">
        <v>140.4</v>
      </c>
      <c r="I278">
        <v>147</v>
      </c>
      <c r="J278">
        <v>178.8</v>
      </c>
      <c r="K278">
        <v>149.30000000000001</v>
      </c>
      <c r="L278">
        <v>115.1</v>
      </c>
      <c r="M278">
        <v>160</v>
      </c>
      <c r="N278">
        <v>145.4</v>
      </c>
      <c r="O278">
        <v>161.6</v>
      </c>
      <c r="P278">
        <v>156.1</v>
      </c>
      <c r="Q278">
        <v>182.9</v>
      </c>
      <c r="R278">
        <v>155.4</v>
      </c>
      <c r="S278">
        <v>149.9</v>
      </c>
      <c r="T278">
        <v>154.6</v>
      </c>
      <c r="U278" t="s">
        <v>67</v>
      </c>
      <c r="V278">
        <v>146.4</v>
      </c>
      <c r="W278">
        <v>151.6</v>
      </c>
      <c r="X278">
        <v>159.1</v>
      </c>
      <c r="Y278">
        <v>144.6</v>
      </c>
      <c r="Z278">
        <v>152.80000000000001</v>
      </c>
      <c r="AA278">
        <v>161.1</v>
      </c>
      <c r="AB278">
        <v>157.4</v>
      </c>
      <c r="AC278">
        <v>153.69999999999999</v>
      </c>
      <c r="AD278">
        <v>155.4</v>
      </c>
    </row>
    <row r="279" spans="1:30" x14ac:dyDescent="0.3">
      <c r="A279" t="s">
        <v>44</v>
      </c>
      <c r="B279">
        <v>2020</v>
      </c>
      <c r="C279" t="s">
        <v>63</v>
      </c>
      <c r="D279">
        <v>151.5</v>
      </c>
      <c r="E279">
        <v>193.1</v>
      </c>
      <c r="F279">
        <v>157.30000000000001</v>
      </c>
      <c r="G279">
        <v>153.9</v>
      </c>
      <c r="H279">
        <v>134.4</v>
      </c>
      <c r="I279">
        <v>155.4</v>
      </c>
      <c r="J279">
        <v>202</v>
      </c>
      <c r="K279">
        <v>150.80000000000001</v>
      </c>
      <c r="L279">
        <v>118.9</v>
      </c>
      <c r="M279">
        <v>160.9</v>
      </c>
      <c r="N279">
        <v>137.69999999999999</v>
      </c>
      <c r="O279">
        <v>164.4</v>
      </c>
      <c r="P279">
        <v>161.30000000000001</v>
      </c>
      <c r="Q279">
        <v>188.7</v>
      </c>
      <c r="R279">
        <v>150.19999999999999</v>
      </c>
      <c r="S279">
        <v>136.30000000000001</v>
      </c>
      <c r="T279">
        <v>148.1</v>
      </c>
      <c r="U279">
        <v>156.30000000000001</v>
      </c>
      <c r="V279">
        <v>137.19999999999999</v>
      </c>
      <c r="W279">
        <v>145.4</v>
      </c>
      <c r="X279">
        <v>150</v>
      </c>
      <c r="Y279">
        <v>135.1</v>
      </c>
      <c r="Z279">
        <v>141.80000000000001</v>
      </c>
      <c r="AA279">
        <v>154.9</v>
      </c>
      <c r="AB279">
        <v>159.80000000000001</v>
      </c>
      <c r="AC279">
        <v>146</v>
      </c>
      <c r="AD279">
        <v>154</v>
      </c>
    </row>
    <row r="280" spans="1:30" x14ac:dyDescent="0.3">
      <c r="A280" t="s">
        <v>45</v>
      </c>
      <c r="B280">
        <v>2020</v>
      </c>
      <c r="C280" t="s">
        <v>63</v>
      </c>
      <c r="D280">
        <v>148.4</v>
      </c>
      <c r="E280">
        <v>187.1</v>
      </c>
      <c r="F280">
        <v>152.5</v>
      </c>
      <c r="G280">
        <v>153.6</v>
      </c>
      <c r="H280">
        <v>138.19999999999999</v>
      </c>
      <c r="I280">
        <v>150.9</v>
      </c>
      <c r="J280">
        <v>186.7</v>
      </c>
      <c r="K280">
        <v>149.80000000000001</v>
      </c>
      <c r="L280">
        <v>116.4</v>
      </c>
      <c r="M280">
        <v>160.30000000000001</v>
      </c>
      <c r="N280">
        <v>142.19999999999999</v>
      </c>
      <c r="O280">
        <v>162.9</v>
      </c>
      <c r="P280">
        <v>158</v>
      </c>
      <c r="Q280">
        <v>184.4</v>
      </c>
      <c r="R280">
        <v>153.4</v>
      </c>
      <c r="S280">
        <v>144.30000000000001</v>
      </c>
      <c r="T280">
        <v>152</v>
      </c>
      <c r="U280">
        <v>156.30000000000001</v>
      </c>
      <c r="V280">
        <v>142.9</v>
      </c>
      <c r="W280">
        <v>148.69999999999999</v>
      </c>
      <c r="X280">
        <v>155.6</v>
      </c>
      <c r="Y280">
        <v>139.6</v>
      </c>
      <c r="Z280">
        <v>146.6</v>
      </c>
      <c r="AA280">
        <v>157.5</v>
      </c>
      <c r="AB280">
        <v>158.4</v>
      </c>
      <c r="AC280">
        <v>150</v>
      </c>
      <c r="AD280">
        <v>154.69999999999999</v>
      </c>
    </row>
    <row r="281" spans="1:30" x14ac:dyDescent="0.3">
      <c r="A281" t="s">
        <v>41</v>
      </c>
      <c r="B281">
        <v>2020</v>
      </c>
      <c r="C281" t="s">
        <v>64</v>
      </c>
      <c r="D281">
        <v>146</v>
      </c>
      <c r="E281">
        <v>186.3</v>
      </c>
      <c r="F281">
        <v>159.19999999999999</v>
      </c>
      <c r="G281">
        <v>153.6</v>
      </c>
      <c r="H281">
        <v>142.6</v>
      </c>
      <c r="I281">
        <v>147.19999999999999</v>
      </c>
      <c r="J281">
        <v>200.6</v>
      </c>
      <c r="K281">
        <v>150.30000000000001</v>
      </c>
      <c r="L281">
        <v>115.3</v>
      </c>
      <c r="M281">
        <v>160.9</v>
      </c>
      <c r="N281">
        <v>147.4</v>
      </c>
      <c r="O281">
        <v>161.9</v>
      </c>
      <c r="P281">
        <v>159.6</v>
      </c>
      <c r="Q281">
        <v>182.7</v>
      </c>
      <c r="R281">
        <v>155.69999999999999</v>
      </c>
      <c r="S281">
        <v>150.6</v>
      </c>
      <c r="T281">
        <v>155</v>
      </c>
      <c r="U281" t="s">
        <v>67</v>
      </c>
      <c r="V281">
        <v>146.80000000000001</v>
      </c>
      <c r="W281">
        <v>152</v>
      </c>
      <c r="X281">
        <v>159.5</v>
      </c>
      <c r="Y281">
        <v>146.4</v>
      </c>
      <c r="Z281">
        <v>152.4</v>
      </c>
      <c r="AA281">
        <v>162.5</v>
      </c>
      <c r="AB281">
        <v>156.19999999999999</v>
      </c>
      <c r="AC281">
        <v>154.30000000000001</v>
      </c>
      <c r="AD281">
        <v>157.5</v>
      </c>
    </row>
    <row r="282" spans="1:30" x14ac:dyDescent="0.3">
      <c r="A282" t="s">
        <v>44</v>
      </c>
      <c r="B282">
        <v>2020</v>
      </c>
      <c r="C282" t="s">
        <v>64</v>
      </c>
      <c r="D282">
        <v>150.6</v>
      </c>
      <c r="E282">
        <v>193.7</v>
      </c>
      <c r="F282">
        <v>164.8</v>
      </c>
      <c r="G282">
        <v>153.69999999999999</v>
      </c>
      <c r="H282">
        <v>135.69999999999999</v>
      </c>
      <c r="I282">
        <v>155.69999999999999</v>
      </c>
      <c r="J282">
        <v>226</v>
      </c>
      <c r="K282">
        <v>152.19999999999999</v>
      </c>
      <c r="L282">
        <v>118.1</v>
      </c>
      <c r="M282">
        <v>161.30000000000001</v>
      </c>
      <c r="N282">
        <v>139.19999999999999</v>
      </c>
      <c r="O282">
        <v>164.8</v>
      </c>
      <c r="P282">
        <v>164.4</v>
      </c>
      <c r="Q282">
        <v>188.7</v>
      </c>
      <c r="R282">
        <v>150.5</v>
      </c>
      <c r="S282">
        <v>136.1</v>
      </c>
      <c r="T282">
        <v>148.30000000000001</v>
      </c>
      <c r="U282">
        <v>156.5</v>
      </c>
      <c r="V282">
        <v>137.1</v>
      </c>
      <c r="W282">
        <v>145.1</v>
      </c>
      <c r="X282">
        <v>151</v>
      </c>
      <c r="Y282">
        <v>135.4</v>
      </c>
      <c r="Z282">
        <v>142</v>
      </c>
      <c r="AA282">
        <v>155.69999999999999</v>
      </c>
      <c r="AB282">
        <v>158.1</v>
      </c>
      <c r="AC282">
        <v>146.19999999999999</v>
      </c>
      <c r="AD282">
        <v>155.19999999999999</v>
      </c>
    </row>
    <row r="283" spans="1:30" x14ac:dyDescent="0.3">
      <c r="A283" t="s">
        <v>45</v>
      </c>
      <c r="B283">
        <v>2020</v>
      </c>
      <c r="C283" t="s">
        <v>64</v>
      </c>
      <c r="D283">
        <v>147.5</v>
      </c>
      <c r="E283">
        <v>188.9</v>
      </c>
      <c r="F283">
        <v>161.4</v>
      </c>
      <c r="G283">
        <v>153.6</v>
      </c>
      <c r="H283">
        <v>140.1</v>
      </c>
      <c r="I283">
        <v>151.19999999999999</v>
      </c>
      <c r="J283">
        <v>209.2</v>
      </c>
      <c r="K283">
        <v>150.9</v>
      </c>
      <c r="L283">
        <v>116.2</v>
      </c>
      <c r="M283">
        <v>161</v>
      </c>
      <c r="N283">
        <v>144</v>
      </c>
      <c r="O283">
        <v>163.19999999999999</v>
      </c>
      <c r="P283">
        <v>161.4</v>
      </c>
      <c r="Q283">
        <v>184.3</v>
      </c>
      <c r="R283">
        <v>153.69999999999999</v>
      </c>
      <c r="S283">
        <v>144.6</v>
      </c>
      <c r="T283">
        <v>152.30000000000001</v>
      </c>
      <c r="U283">
        <v>156.5</v>
      </c>
      <c r="V283">
        <v>143.1</v>
      </c>
      <c r="W283">
        <v>148.69999999999999</v>
      </c>
      <c r="X283">
        <v>156.30000000000001</v>
      </c>
      <c r="Y283">
        <v>140.6</v>
      </c>
      <c r="Z283">
        <v>146.5</v>
      </c>
      <c r="AA283">
        <v>158.5</v>
      </c>
      <c r="AB283">
        <v>157</v>
      </c>
      <c r="AC283">
        <v>150.4</v>
      </c>
      <c r="AD283">
        <v>156.4</v>
      </c>
    </row>
    <row r="284" spans="1:30" x14ac:dyDescent="0.3">
      <c r="A284" t="s">
        <v>41</v>
      </c>
      <c r="B284">
        <v>2020</v>
      </c>
      <c r="C284" t="s">
        <v>65</v>
      </c>
      <c r="D284">
        <v>145.4</v>
      </c>
      <c r="E284">
        <v>188.6</v>
      </c>
      <c r="F284">
        <v>171.6</v>
      </c>
      <c r="G284">
        <v>153.80000000000001</v>
      </c>
      <c r="H284">
        <v>145.4</v>
      </c>
      <c r="I284">
        <v>146.5</v>
      </c>
      <c r="J284">
        <v>222.2</v>
      </c>
      <c r="K284">
        <v>155.9</v>
      </c>
      <c r="L284">
        <v>114.9</v>
      </c>
      <c r="M284">
        <v>162</v>
      </c>
      <c r="N284">
        <v>150</v>
      </c>
      <c r="O284">
        <v>162.69999999999999</v>
      </c>
      <c r="P284">
        <v>163.4</v>
      </c>
      <c r="Q284">
        <v>183.4</v>
      </c>
      <c r="R284">
        <v>156.30000000000001</v>
      </c>
      <c r="S284">
        <v>151</v>
      </c>
      <c r="T284">
        <v>155.5</v>
      </c>
      <c r="U284" t="s">
        <v>67</v>
      </c>
      <c r="V284">
        <v>147.5</v>
      </c>
      <c r="W284">
        <v>152.80000000000001</v>
      </c>
      <c r="X284">
        <v>160.4</v>
      </c>
      <c r="Y284">
        <v>146.1</v>
      </c>
      <c r="Z284">
        <v>153.6</v>
      </c>
      <c r="AA284">
        <v>161.6</v>
      </c>
      <c r="AB284">
        <v>156.19999999999999</v>
      </c>
      <c r="AC284">
        <v>154.5</v>
      </c>
      <c r="AD284">
        <v>159.80000000000001</v>
      </c>
    </row>
    <row r="285" spans="1:30" x14ac:dyDescent="0.3">
      <c r="A285" t="s">
        <v>44</v>
      </c>
      <c r="B285">
        <v>2020</v>
      </c>
      <c r="C285" t="s">
        <v>65</v>
      </c>
      <c r="D285">
        <v>149.69999999999999</v>
      </c>
      <c r="E285">
        <v>195.5</v>
      </c>
      <c r="F285">
        <v>176.9</v>
      </c>
      <c r="G285">
        <v>153.9</v>
      </c>
      <c r="H285">
        <v>138</v>
      </c>
      <c r="I285">
        <v>150.5</v>
      </c>
      <c r="J285">
        <v>245.3</v>
      </c>
      <c r="K285">
        <v>158.69999999999999</v>
      </c>
      <c r="L285">
        <v>117.2</v>
      </c>
      <c r="M285">
        <v>161.4</v>
      </c>
      <c r="N285">
        <v>141.5</v>
      </c>
      <c r="O285">
        <v>165.1</v>
      </c>
      <c r="P285">
        <v>167</v>
      </c>
      <c r="Q285">
        <v>188.8</v>
      </c>
      <c r="R285">
        <v>151.1</v>
      </c>
      <c r="S285">
        <v>136.4</v>
      </c>
      <c r="T285">
        <v>148.80000000000001</v>
      </c>
      <c r="U285">
        <v>158</v>
      </c>
      <c r="V285">
        <v>137.30000000000001</v>
      </c>
      <c r="W285">
        <v>145.1</v>
      </c>
      <c r="X285">
        <v>152</v>
      </c>
      <c r="Y285">
        <v>135.19999999999999</v>
      </c>
      <c r="Z285">
        <v>144.4</v>
      </c>
      <c r="AA285">
        <v>156.4</v>
      </c>
      <c r="AB285">
        <v>157.9</v>
      </c>
      <c r="AC285">
        <v>146.6</v>
      </c>
      <c r="AD285">
        <v>156.69999999999999</v>
      </c>
    </row>
    <row r="286" spans="1:30" x14ac:dyDescent="0.3">
      <c r="A286" t="s">
        <v>45</v>
      </c>
      <c r="B286">
        <v>2020</v>
      </c>
      <c r="C286" t="s">
        <v>65</v>
      </c>
      <c r="D286">
        <v>146.80000000000001</v>
      </c>
      <c r="E286">
        <v>191</v>
      </c>
      <c r="F286">
        <v>173.6</v>
      </c>
      <c r="G286">
        <v>153.80000000000001</v>
      </c>
      <c r="H286">
        <v>142.69999999999999</v>
      </c>
      <c r="I286">
        <v>148.4</v>
      </c>
      <c r="J286">
        <v>230</v>
      </c>
      <c r="K286">
        <v>156.80000000000001</v>
      </c>
      <c r="L286">
        <v>115.7</v>
      </c>
      <c r="M286">
        <v>161.80000000000001</v>
      </c>
      <c r="N286">
        <v>146.5</v>
      </c>
      <c r="O286">
        <v>163.80000000000001</v>
      </c>
      <c r="P286">
        <v>164.7</v>
      </c>
      <c r="Q286">
        <v>184.8</v>
      </c>
      <c r="R286">
        <v>154.30000000000001</v>
      </c>
      <c r="S286">
        <v>144.9</v>
      </c>
      <c r="T286">
        <v>152.80000000000001</v>
      </c>
      <c r="U286">
        <v>158</v>
      </c>
      <c r="V286">
        <v>143.6</v>
      </c>
      <c r="W286">
        <v>149.19999999999999</v>
      </c>
      <c r="X286">
        <v>157.19999999999999</v>
      </c>
      <c r="Y286">
        <v>140.4</v>
      </c>
      <c r="Z286">
        <v>148.4</v>
      </c>
      <c r="AA286">
        <v>158.6</v>
      </c>
      <c r="AB286">
        <v>156.9</v>
      </c>
      <c r="AC286">
        <v>150.69999999999999</v>
      </c>
      <c r="AD286">
        <v>158.4</v>
      </c>
    </row>
    <row r="287" spans="1:30" x14ac:dyDescent="0.3">
      <c r="A287" t="s">
        <v>41</v>
      </c>
      <c r="B287">
        <v>2020</v>
      </c>
      <c r="C287" t="s">
        <v>66</v>
      </c>
      <c r="D287">
        <v>144.6</v>
      </c>
      <c r="E287">
        <v>188.5</v>
      </c>
      <c r="F287">
        <v>173.4</v>
      </c>
      <c r="G287">
        <v>154</v>
      </c>
      <c r="H287">
        <v>150</v>
      </c>
      <c r="I287">
        <v>145.9</v>
      </c>
      <c r="J287">
        <v>225.2</v>
      </c>
      <c r="K287">
        <v>159.5</v>
      </c>
      <c r="L287">
        <v>114.4</v>
      </c>
      <c r="M287">
        <v>163.5</v>
      </c>
      <c r="N287">
        <v>153.4</v>
      </c>
      <c r="O287">
        <v>163.6</v>
      </c>
      <c r="P287">
        <v>164.5</v>
      </c>
      <c r="Q287">
        <v>183.6</v>
      </c>
      <c r="R287">
        <v>157</v>
      </c>
      <c r="S287">
        <v>151.6</v>
      </c>
      <c r="T287">
        <v>156.30000000000001</v>
      </c>
      <c r="U287" t="s">
        <v>67</v>
      </c>
      <c r="V287">
        <v>148.69999999999999</v>
      </c>
      <c r="W287">
        <v>153.4</v>
      </c>
      <c r="X287">
        <v>161.6</v>
      </c>
      <c r="Y287">
        <v>146.4</v>
      </c>
      <c r="Z287">
        <v>153.9</v>
      </c>
      <c r="AA287">
        <v>162.9</v>
      </c>
      <c r="AB287">
        <v>156.6</v>
      </c>
      <c r="AC287">
        <v>155.19999999999999</v>
      </c>
      <c r="AD287">
        <v>160.69999999999999</v>
      </c>
    </row>
    <row r="288" spans="1:30" x14ac:dyDescent="0.3">
      <c r="A288" t="s">
        <v>44</v>
      </c>
      <c r="B288">
        <v>2020</v>
      </c>
      <c r="C288" t="s">
        <v>66</v>
      </c>
      <c r="D288">
        <v>149</v>
      </c>
      <c r="E288">
        <v>195.7</v>
      </c>
      <c r="F288">
        <v>178.3</v>
      </c>
      <c r="G288">
        <v>154.19999999999999</v>
      </c>
      <c r="H288">
        <v>140.69999999999999</v>
      </c>
      <c r="I288">
        <v>149.69999999999999</v>
      </c>
      <c r="J288">
        <v>240.9</v>
      </c>
      <c r="K288">
        <v>161.5</v>
      </c>
      <c r="L288">
        <v>117.1</v>
      </c>
      <c r="M288">
        <v>161.9</v>
      </c>
      <c r="N288">
        <v>143.30000000000001</v>
      </c>
      <c r="O288">
        <v>166.1</v>
      </c>
      <c r="P288">
        <v>167</v>
      </c>
      <c r="Q288">
        <v>190.2</v>
      </c>
      <c r="R288">
        <v>151.9</v>
      </c>
      <c r="S288">
        <v>136.69999999999999</v>
      </c>
      <c r="T288">
        <v>149.6</v>
      </c>
      <c r="U288">
        <v>158.4</v>
      </c>
      <c r="V288">
        <v>137.9</v>
      </c>
      <c r="W288">
        <v>145.5</v>
      </c>
      <c r="X288">
        <v>152.9</v>
      </c>
      <c r="Y288">
        <v>135.5</v>
      </c>
      <c r="Z288">
        <v>144.30000000000001</v>
      </c>
      <c r="AA288">
        <v>156.9</v>
      </c>
      <c r="AB288">
        <v>157.9</v>
      </c>
      <c r="AC288">
        <v>146.9</v>
      </c>
      <c r="AD288">
        <v>156.9</v>
      </c>
    </row>
    <row r="289" spans="1:30" x14ac:dyDescent="0.3">
      <c r="A289" t="s">
        <v>45</v>
      </c>
      <c r="B289">
        <v>2020</v>
      </c>
      <c r="C289" t="s">
        <v>66</v>
      </c>
      <c r="D289">
        <v>146</v>
      </c>
      <c r="E289">
        <v>191</v>
      </c>
      <c r="F289">
        <v>175.3</v>
      </c>
      <c r="G289">
        <v>154.1</v>
      </c>
      <c r="H289">
        <v>146.6</v>
      </c>
      <c r="I289">
        <v>147.69999999999999</v>
      </c>
      <c r="J289">
        <v>230.5</v>
      </c>
      <c r="K289">
        <v>160.19999999999999</v>
      </c>
      <c r="L289">
        <v>115.3</v>
      </c>
      <c r="M289">
        <v>163</v>
      </c>
      <c r="N289">
        <v>149.19999999999999</v>
      </c>
      <c r="O289">
        <v>164.8</v>
      </c>
      <c r="P289">
        <v>165.4</v>
      </c>
      <c r="Q289">
        <v>185.4</v>
      </c>
      <c r="R289">
        <v>155</v>
      </c>
      <c r="S289">
        <v>145.4</v>
      </c>
      <c r="T289">
        <v>153.6</v>
      </c>
      <c r="U289">
        <v>158.4</v>
      </c>
      <c r="V289">
        <v>144.6</v>
      </c>
      <c r="W289">
        <v>149.69999999999999</v>
      </c>
      <c r="X289">
        <v>158.30000000000001</v>
      </c>
      <c r="Y289">
        <v>140.69999999999999</v>
      </c>
      <c r="Z289">
        <v>148.5</v>
      </c>
      <c r="AA289">
        <v>159.4</v>
      </c>
      <c r="AB289">
        <v>157.1</v>
      </c>
      <c r="AC289">
        <v>151.19999999999999</v>
      </c>
      <c r="AD289">
        <v>158.9</v>
      </c>
    </row>
    <row r="290" spans="1:30" x14ac:dyDescent="0.3">
      <c r="A290" t="s">
        <v>41</v>
      </c>
      <c r="B290">
        <v>2021</v>
      </c>
      <c r="C290" t="s">
        <v>56</v>
      </c>
      <c r="D290">
        <v>143.4</v>
      </c>
      <c r="E290">
        <v>187.5</v>
      </c>
      <c r="F290">
        <v>173.4</v>
      </c>
      <c r="G290">
        <v>154</v>
      </c>
      <c r="H290">
        <v>154.80000000000001</v>
      </c>
      <c r="I290">
        <v>147</v>
      </c>
      <c r="J290">
        <v>187.8</v>
      </c>
      <c r="K290">
        <v>159.5</v>
      </c>
      <c r="L290">
        <v>113.8</v>
      </c>
      <c r="M290">
        <v>164.5</v>
      </c>
      <c r="N290">
        <v>156.1</v>
      </c>
      <c r="O290">
        <v>164.3</v>
      </c>
      <c r="P290">
        <v>159.6</v>
      </c>
      <c r="Q290">
        <v>184.6</v>
      </c>
      <c r="R290">
        <v>157.5</v>
      </c>
      <c r="S290">
        <v>152.4</v>
      </c>
      <c r="T290">
        <v>156.80000000000001</v>
      </c>
      <c r="U290" t="s">
        <v>67</v>
      </c>
      <c r="V290">
        <v>150.9</v>
      </c>
      <c r="W290">
        <v>153.9</v>
      </c>
      <c r="X290">
        <v>162.5</v>
      </c>
      <c r="Y290">
        <v>147.5</v>
      </c>
      <c r="Z290">
        <v>155.1</v>
      </c>
      <c r="AA290">
        <v>163.5</v>
      </c>
      <c r="AB290">
        <v>156.19999999999999</v>
      </c>
      <c r="AC290">
        <v>155.9</v>
      </c>
      <c r="AD290">
        <v>158.5</v>
      </c>
    </row>
    <row r="291" spans="1:30" x14ac:dyDescent="0.3">
      <c r="A291" t="s">
        <v>44</v>
      </c>
      <c r="B291">
        <v>2021</v>
      </c>
      <c r="C291" t="s">
        <v>56</v>
      </c>
      <c r="D291">
        <v>148</v>
      </c>
      <c r="E291">
        <v>194.8</v>
      </c>
      <c r="F291">
        <v>178.4</v>
      </c>
      <c r="G291">
        <v>154.4</v>
      </c>
      <c r="H291">
        <v>144.1</v>
      </c>
      <c r="I291">
        <v>152.6</v>
      </c>
      <c r="J291">
        <v>206.8</v>
      </c>
      <c r="K291">
        <v>162.1</v>
      </c>
      <c r="L291">
        <v>116.3</v>
      </c>
      <c r="M291">
        <v>163</v>
      </c>
      <c r="N291">
        <v>145.9</v>
      </c>
      <c r="O291">
        <v>167.2</v>
      </c>
      <c r="P291">
        <v>163.4</v>
      </c>
      <c r="Q291">
        <v>191.8</v>
      </c>
      <c r="R291">
        <v>152.5</v>
      </c>
      <c r="S291">
        <v>137.30000000000001</v>
      </c>
      <c r="T291">
        <v>150.19999999999999</v>
      </c>
      <c r="U291">
        <v>157.69999999999999</v>
      </c>
      <c r="V291">
        <v>142.9</v>
      </c>
      <c r="W291">
        <v>145.69999999999999</v>
      </c>
      <c r="X291">
        <v>154.1</v>
      </c>
      <c r="Y291">
        <v>136.9</v>
      </c>
      <c r="Z291">
        <v>145.4</v>
      </c>
      <c r="AA291">
        <v>156.1</v>
      </c>
      <c r="AB291">
        <v>157.69999999999999</v>
      </c>
      <c r="AC291">
        <v>147.6</v>
      </c>
      <c r="AD291">
        <v>156</v>
      </c>
    </row>
    <row r="292" spans="1:30" x14ac:dyDescent="0.3">
      <c r="A292" t="s">
        <v>45</v>
      </c>
      <c r="B292">
        <v>2021</v>
      </c>
      <c r="C292" t="s">
        <v>56</v>
      </c>
      <c r="D292">
        <v>144.9</v>
      </c>
      <c r="E292">
        <v>190.1</v>
      </c>
      <c r="F292">
        <v>175.3</v>
      </c>
      <c r="G292">
        <v>154.1</v>
      </c>
      <c r="H292">
        <v>150.9</v>
      </c>
      <c r="I292">
        <v>149.6</v>
      </c>
      <c r="J292">
        <v>194.2</v>
      </c>
      <c r="K292">
        <v>160.4</v>
      </c>
      <c r="L292">
        <v>114.6</v>
      </c>
      <c r="M292">
        <v>164</v>
      </c>
      <c r="N292">
        <v>151.80000000000001</v>
      </c>
      <c r="O292">
        <v>165.6</v>
      </c>
      <c r="P292">
        <v>161</v>
      </c>
      <c r="Q292">
        <v>186.5</v>
      </c>
      <c r="R292">
        <v>155.5</v>
      </c>
      <c r="S292">
        <v>146.1</v>
      </c>
      <c r="T292">
        <v>154.19999999999999</v>
      </c>
      <c r="U292">
        <v>157.69999999999999</v>
      </c>
      <c r="V292">
        <v>147.9</v>
      </c>
      <c r="W292">
        <v>150</v>
      </c>
      <c r="X292">
        <v>159.30000000000001</v>
      </c>
      <c r="Y292">
        <v>141.9</v>
      </c>
      <c r="Z292">
        <v>149.6</v>
      </c>
      <c r="AA292">
        <v>159.19999999999999</v>
      </c>
      <c r="AB292">
        <v>156.80000000000001</v>
      </c>
      <c r="AC292">
        <v>151.9</v>
      </c>
      <c r="AD292">
        <v>157.30000000000001</v>
      </c>
    </row>
    <row r="293" spans="1:30" x14ac:dyDescent="0.3">
      <c r="A293" t="s">
        <v>41</v>
      </c>
      <c r="B293">
        <v>2021</v>
      </c>
      <c r="C293" t="s">
        <v>57</v>
      </c>
      <c r="D293">
        <v>142.80000000000001</v>
      </c>
      <c r="E293">
        <v>184</v>
      </c>
      <c r="F293">
        <v>168</v>
      </c>
      <c r="G293">
        <v>154.4</v>
      </c>
      <c r="H293">
        <v>163</v>
      </c>
      <c r="I293">
        <v>147.80000000000001</v>
      </c>
      <c r="J293">
        <v>149.69999999999999</v>
      </c>
      <c r="K293">
        <v>158.30000000000001</v>
      </c>
      <c r="L293">
        <v>111.8</v>
      </c>
      <c r="M293">
        <v>165</v>
      </c>
      <c r="N293">
        <v>160</v>
      </c>
      <c r="O293">
        <v>165.8</v>
      </c>
      <c r="P293">
        <v>154.69999999999999</v>
      </c>
      <c r="Q293">
        <v>186.5</v>
      </c>
      <c r="R293">
        <v>159.1</v>
      </c>
      <c r="S293">
        <v>153.9</v>
      </c>
      <c r="T293">
        <v>158.4</v>
      </c>
      <c r="U293" t="s">
        <v>67</v>
      </c>
      <c r="V293">
        <v>154.4</v>
      </c>
      <c r="W293">
        <v>154.80000000000001</v>
      </c>
      <c r="X293">
        <v>164.3</v>
      </c>
      <c r="Y293">
        <v>150.19999999999999</v>
      </c>
      <c r="Z293">
        <v>157</v>
      </c>
      <c r="AA293">
        <v>163.6</v>
      </c>
      <c r="AB293">
        <v>155.19999999999999</v>
      </c>
      <c r="AC293">
        <v>157.19999999999999</v>
      </c>
      <c r="AD293">
        <v>156.69999999999999</v>
      </c>
    </row>
    <row r="294" spans="1:30" x14ac:dyDescent="0.3">
      <c r="A294" t="s">
        <v>44</v>
      </c>
      <c r="B294">
        <v>2021</v>
      </c>
      <c r="C294" t="s">
        <v>57</v>
      </c>
      <c r="D294">
        <v>147.6</v>
      </c>
      <c r="E294">
        <v>191.2</v>
      </c>
      <c r="F294">
        <v>169.9</v>
      </c>
      <c r="G294">
        <v>155.1</v>
      </c>
      <c r="H294">
        <v>151.4</v>
      </c>
      <c r="I294">
        <v>154</v>
      </c>
      <c r="J294">
        <v>180.2</v>
      </c>
      <c r="K294">
        <v>159.80000000000001</v>
      </c>
      <c r="L294">
        <v>114.9</v>
      </c>
      <c r="M294">
        <v>162.5</v>
      </c>
      <c r="N294">
        <v>149.19999999999999</v>
      </c>
      <c r="O294">
        <v>169.4</v>
      </c>
      <c r="P294">
        <v>160.80000000000001</v>
      </c>
      <c r="Q294">
        <v>193.3</v>
      </c>
      <c r="R294">
        <v>154.19999999999999</v>
      </c>
      <c r="S294">
        <v>138.19999999999999</v>
      </c>
      <c r="T294">
        <v>151.80000000000001</v>
      </c>
      <c r="U294">
        <v>159.80000000000001</v>
      </c>
      <c r="V294">
        <v>149.1</v>
      </c>
      <c r="W294">
        <v>146.5</v>
      </c>
      <c r="X294">
        <v>156.30000000000001</v>
      </c>
      <c r="Y294">
        <v>140.5</v>
      </c>
      <c r="Z294">
        <v>147.30000000000001</v>
      </c>
      <c r="AA294">
        <v>156.6</v>
      </c>
      <c r="AB294">
        <v>156.69999999999999</v>
      </c>
      <c r="AC294">
        <v>149.30000000000001</v>
      </c>
      <c r="AD294">
        <v>156.5</v>
      </c>
    </row>
    <row r="295" spans="1:30" x14ac:dyDescent="0.3">
      <c r="A295" t="s">
        <v>45</v>
      </c>
      <c r="B295">
        <v>2021</v>
      </c>
      <c r="C295" t="s">
        <v>57</v>
      </c>
      <c r="D295">
        <v>144.30000000000001</v>
      </c>
      <c r="E295">
        <v>186.5</v>
      </c>
      <c r="F295">
        <v>168.7</v>
      </c>
      <c r="G295">
        <v>154.69999999999999</v>
      </c>
      <c r="H295">
        <v>158.69999999999999</v>
      </c>
      <c r="I295">
        <v>150.69999999999999</v>
      </c>
      <c r="J295">
        <v>160</v>
      </c>
      <c r="K295">
        <v>158.80000000000001</v>
      </c>
      <c r="L295">
        <v>112.8</v>
      </c>
      <c r="M295">
        <v>164.2</v>
      </c>
      <c r="N295">
        <v>155.5</v>
      </c>
      <c r="O295">
        <v>167.5</v>
      </c>
      <c r="P295">
        <v>156.9</v>
      </c>
      <c r="Q295">
        <v>188.3</v>
      </c>
      <c r="R295">
        <v>157.19999999999999</v>
      </c>
      <c r="S295">
        <v>147.4</v>
      </c>
      <c r="T295">
        <v>155.80000000000001</v>
      </c>
      <c r="U295">
        <v>159.80000000000001</v>
      </c>
      <c r="V295">
        <v>152.4</v>
      </c>
      <c r="W295">
        <v>150.9</v>
      </c>
      <c r="X295">
        <v>161.30000000000001</v>
      </c>
      <c r="Y295">
        <v>145.1</v>
      </c>
      <c r="Z295">
        <v>151.5</v>
      </c>
      <c r="AA295">
        <v>159.5</v>
      </c>
      <c r="AB295">
        <v>155.80000000000001</v>
      </c>
      <c r="AC295">
        <v>153.4</v>
      </c>
      <c r="AD295">
        <v>156.6</v>
      </c>
    </row>
    <row r="296" spans="1:30" x14ac:dyDescent="0.3">
      <c r="A296" t="s">
        <v>41</v>
      </c>
      <c r="B296">
        <v>2021</v>
      </c>
      <c r="C296" t="s">
        <v>58</v>
      </c>
      <c r="D296">
        <v>142.5</v>
      </c>
      <c r="E296">
        <v>189.4</v>
      </c>
      <c r="F296">
        <v>163.19999999999999</v>
      </c>
      <c r="G296">
        <v>154.5</v>
      </c>
      <c r="H296">
        <v>168.2</v>
      </c>
      <c r="I296">
        <v>150.5</v>
      </c>
      <c r="J296">
        <v>141</v>
      </c>
      <c r="K296">
        <v>159.19999999999999</v>
      </c>
      <c r="L296">
        <v>111.7</v>
      </c>
      <c r="M296">
        <v>164</v>
      </c>
      <c r="N296">
        <v>160.6</v>
      </c>
      <c r="O296">
        <v>166.4</v>
      </c>
      <c r="P296">
        <v>154.5</v>
      </c>
      <c r="Q296">
        <v>186.1</v>
      </c>
      <c r="R296">
        <v>159.6</v>
      </c>
      <c r="S296">
        <v>154.4</v>
      </c>
      <c r="T296">
        <v>158.9</v>
      </c>
      <c r="U296" t="s">
        <v>43</v>
      </c>
      <c r="V296">
        <v>156</v>
      </c>
      <c r="W296">
        <v>154.80000000000001</v>
      </c>
      <c r="X296">
        <v>164.6</v>
      </c>
      <c r="Y296">
        <v>151.30000000000001</v>
      </c>
      <c r="Z296">
        <v>157.80000000000001</v>
      </c>
      <c r="AA296">
        <v>163.80000000000001</v>
      </c>
      <c r="AB296">
        <v>153.1</v>
      </c>
      <c r="AC296">
        <v>157.30000000000001</v>
      </c>
      <c r="AD296">
        <v>156.69999999999999</v>
      </c>
    </row>
    <row r="297" spans="1:30" x14ac:dyDescent="0.3">
      <c r="A297" t="s">
        <v>44</v>
      </c>
      <c r="B297">
        <v>2021</v>
      </c>
      <c r="C297" t="s">
        <v>58</v>
      </c>
      <c r="D297">
        <v>147.5</v>
      </c>
      <c r="E297">
        <v>197.5</v>
      </c>
      <c r="F297">
        <v>164.7</v>
      </c>
      <c r="G297">
        <v>155.6</v>
      </c>
      <c r="H297">
        <v>156.4</v>
      </c>
      <c r="I297">
        <v>157.30000000000001</v>
      </c>
      <c r="J297">
        <v>166.1</v>
      </c>
      <c r="K297">
        <v>161.1</v>
      </c>
      <c r="L297">
        <v>114.3</v>
      </c>
      <c r="M297">
        <v>162.6</v>
      </c>
      <c r="N297">
        <v>150.69999999999999</v>
      </c>
      <c r="O297">
        <v>170.3</v>
      </c>
      <c r="P297">
        <v>160.4</v>
      </c>
      <c r="Q297">
        <v>193.5</v>
      </c>
      <c r="R297">
        <v>155.1</v>
      </c>
      <c r="S297">
        <v>138.69999999999999</v>
      </c>
      <c r="T297">
        <v>152.6</v>
      </c>
      <c r="U297">
        <v>159.9</v>
      </c>
      <c r="V297">
        <v>154.80000000000001</v>
      </c>
      <c r="W297">
        <v>147.19999999999999</v>
      </c>
      <c r="X297">
        <v>156.9</v>
      </c>
      <c r="Y297">
        <v>141.69999999999999</v>
      </c>
      <c r="Z297">
        <v>148.6</v>
      </c>
      <c r="AA297">
        <v>157.6</v>
      </c>
      <c r="AB297">
        <v>154.9</v>
      </c>
      <c r="AC297">
        <v>150</v>
      </c>
      <c r="AD297">
        <v>156.9</v>
      </c>
    </row>
    <row r="298" spans="1:30" x14ac:dyDescent="0.3">
      <c r="A298" t="s">
        <v>45</v>
      </c>
      <c r="B298">
        <v>2021</v>
      </c>
      <c r="C298" t="s">
        <v>58</v>
      </c>
      <c r="D298">
        <v>144.1</v>
      </c>
      <c r="E298">
        <v>192.2</v>
      </c>
      <c r="F298">
        <v>163.80000000000001</v>
      </c>
      <c r="G298">
        <v>154.9</v>
      </c>
      <c r="H298">
        <v>163.9</v>
      </c>
      <c r="I298">
        <v>153.69999999999999</v>
      </c>
      <c r="J298">
        <v>149.5</v>
      </c>
      <c r="K298">
        <v>159.80000000000001</v>
      </c>
      <c r="L298">
        <v>112.6</v>
      </c>
      <c r="M298">
        <v>163.5</v>
      </c>
      <c r="N298">
        <v>156.5</v>
      </c>
      <c r="O298">
        <v>168.2</v>
      </c>
      <c r="P298">
        <v>156.69999999999999</v>
      </c>
      <c r="Q298">
        <v>188.1</v>
      </c>
      <c r="R298">
        <v>157.80000000000001</v>
      </c>
      <c r="S298">
        <v>147.9</v>
      </c>
      <c r="T298">
        <v>156.4</v>
      </c>
      <c r="U298">
        <v>159.9</v>
      </c>
      <c r="V298">
        <v>155.5</v>
      </c>
      <c r="W298">
        <v>151.19999999999999</v>
      </c>
      <c r="X298">
        <v>161.69999999999999</v>
      </c>
      <c r="Y298">
        <v>146.19999999999999</v>
      </c>
      <c r="Z298">
        <v>152.6</v>
      </c>
      <c r="AA298">
        <v>160.19999999999999</v>
      </c>
      <c r="AB298">
        <v>153.80000000000001</v>
      </c>
      <c r="AC298">
        <v>153.80000000000001</v>
      </c>
      <c r="AD298">
        <v>156.80000000000001</v>
      </c>
    </row>
    <row r="299" spans="1:30" x14ac:dyDescent="0.3">
      <c r="A299" t="s">
        <v>41</v>
      </c>
      <c r="B299">
        <v>2021</v>
      </c>
      <c r="C299" t="s">
        <v>59</v>
      </c>
      <c r="D299">
        <v>142.69999999999999</v>
      </c>
      <c r="E299">
        <v>195.5</v>
      </c>
      <c r="F299">
        <v>163.4</v>
      </c>
      <c r="G299">
        <v>155</v>
      </c>
      <c r="H299">
        <v>175.2</v>
      </c>
      <c r="I299">
        <v>160.6</v>
      </c>
      <c r="J299">
        <v>135.1</v>
      </c>
      <c r="K299">
        <v>161.1</v>
      </c>
      <c r="L299">
        <v>112.2</v>
      </c>
      <c r="M299">
        <v>164.4</v>
      </c>
      <c r="N299">
        <v>161.9</v>
      </c>
      <c r="O299">
        <v>166.8</v>
      </c>
      <c r="P299">
        <v>155.6</v>
      </c>
      <c r="Q299">
        <v>186.8</v>
      </c>
      <c r="R299">
        <v>160.69999999999999</v>
      </c>
      <c r="S299">
        <v>155.1</v>
      </c>
      <c r="T299">
        <v>159.9</v>
      </c>
      <c r="U299" t="s">
        <v>43</v>
      </c>
      <c r="V299">
        <v>156</v>
      </c>
      <c r="W299">
        <v>155.5</v>
      </c>
      <c r="X299">
        <v>165.3</v>
      </c>
      <c r="Y299">
        <v>151.69999999999999</v>
      </c>
      <c r="Z299">
        <v>158.6</v>
      </c>
      <c r="AA299">
        <v>164.1</v>
      </c>
      <c r="AB299">
        <v>154.6</v>
      </c>
      <c r="AC299">
        <v>158</v>
      </c>
      <c r="AD299">
        <v>157.6</v>
      </c>
    </row>
    <row r="300" spans="1:30" x14ac:dyDescent="0.3">
      <c r="A300" t="s">
        <v>44</v>
      </c>
      <c r="B300">
        <v>2021</v>
      </c>
      <c r="C300" t="s">
        <v>59</v>
      </c>
      <c r="D300">
        <v>147.6</v>
      </c>
      <c r="E300">
        <v>202.5</v>
      </c>
      <c r="F300">
        <v>166.4</v>
      </c>
      <c r="G300">
        <v>156</v>
      </c>
      <c r="H300">
        <v>161.4</v>
      </c>
      <c r="I300">
        <v>168.8</v>
      </c>
      <c r="J300">
        <v>161.6</v>
      </c>
      <c r="K300">
        <v>162.80000000000001</v>
      </c>
      <c r="L300">
        <v>114.8</v>
      </c>
      <c r="M300">
        <v>162.80000000000001</v>
      </c>
      <c r="N300">
        <v>151.5</v>
      </c>
      <c r="O300">
        <v>171.4</v>
      </c>
      <c r="P300">
        <v>162</v>
      </c>
      <c r="Q300">
        <v>194.4</v>
      </c>
      <c r="R300">
        <v>155.9</v>
      </c>
      <c r="S300">
        <v>139.30000000000001</v>
      </c>
      <c r="T300">
        <v>153.4</v>
      </c>
      <c r="U300">
        <v>161.4</v>
      </c>
      <c r="V300">
        <v>154.9</v>
      </c>
      <c r="W300">
        <v>147.6</v>
      </c>
      <c r="X300">
        <v>157.5</v>
      </c>
      <c r="Y300">
        <v>142.1</v>
      </c>
      <c r="Z300">
        <v>149.1</v>
      </c>
      <c r="AA300">
        <v>157.6</v>
      </c>
      <c r="AB300">
        <v>156.6</v>
      </c>
      <c r="AC300">
        <v>150.5</v>
      </c>
      <c r="AD300">
        <v>158</v>
      </c>
    </row>
    <row r="301" spans="1:30" x14ac:dyDescent="0.3">
      <c r="A301" t="s">
        <v>45</v>
      </c>
      <c r="B301">
        <v>2021</v>
      </c>
      <c r="C301" t="s">
        <v>59</v>
      </c>
      <c r="D301">
        <v>144.30000000000001</v>
      </c>
      <c r="E301">
        <v>198</v>
      </c>
      <c r="F301">
        <v>164.6</v>
      </c>
      <c r="G301">
        <v>155.4</v>
      </c>
      <c r="H301">
        <v>170.1</v>
      </c>
      <c r="I301">
        <v>164.4</v>
      </c>
      <c r="J301">
        <v>144.1</v>
      </c>
      <c r="K301">
        <v>161.69999999999999</v>
      </c>
      <c r="L301">
        <v>113.1</v>
      </c>
      <c r="M301">
        <v>163.9</v>
      </c>
      <c r="N301">
        <v>157.6</v>
      </c>
      <c r="O301">
        <v>168.9</v>
      </c>
      <c r="P301">
        <v>158</v>
      </c>
      <c r="Q301">
        <v>188.8</v>
      </c>
      <c r="R301">
        <v>158.80000000000001</v>
      </c>
      <c r="S301">
        <v>148.5</v>
      </c>
      <c r="T301">
        <v>157.30000000000001</v>
      </c>
      <c r="U301">
        <v>161.4</v>
      </c>
      <c r="V301">
        <v>155.6</v>
      </c>
      <c r="W301">
        <v>151.80000000000001</v>
      </c>
      <c r="X301">
        <v>162.30000000000001</v>
      </c>
      <c r="Y301">
        <v>146.6</v>
      </c>
      <c r="Z301">
        <v>153.19999999999999</v>
      </c>
      <c r="AA301">
        <v>160.30000000000001</v>
      </c>
      <c r="AB301">
        <v>155.4</v>
      </c>
      <c r="AC301">
        <v>154.4</v>
      </c>
      <c r="AD301">
        <v>157.80000000000001</v>
      </c>
    </row>
    <row r="302" spans="1:30" x14ac:dyDescent="0.3">
      <c r="A302" t="s">
        <v>41</v>
      </c>
      <c r="B302">
        <v>2021</v>
      </c>
      <c r="C302" t="s">
        <v>42</v>
      </c>
      <c r="D302">
        <v>145.1</v>
      </c>
      <c r="E302">
        <v>198.5</v>
      </c>
      <c r="F302">
        <v>168.6</v>
      </c>
      <c r="G302">
        <v>155.80000000000001</v>
      </c>
      <c r="H302">
        <v>184.4</v>
      </c>
      <c r="I302">
        <v>162.30000000000001</v>
      </c>
      <c r="J302">
        <v>138.4</v>
      </c>
      <c r="K302">
        <v>165.1</v>
      </c>
      <c r="L302">
        <v>114.3</v>
      </c>
      <c r="M302">
        <v>169.7</v>
      </c>
      <c r="N302">
        <v>164.6</v>
      </c>
      <c r="O302">
        <v>169.8</v>
      </c>
      <c r="P302">
        <v>158.69999999999999</v>
      </c>
      <c r="Q302">
        <v>189.6</v>
      </c>
      <c r="R302">
        <v>165.3</v>
      </c>
      <c r="S302">
        <v>160.6</v>
      </c>
      <c r="T302">
        <v>164.5</v>
      </c>
      <c r="U302" t="s">
        <v>67</v>
      </c>
      <c r="V302">
        <v>161.69999999999999</v>
      </c>
      <c r="W302">
        <v>158.80000000000001</v>
      </c>
      <c r="X302">
        <v>169.1</v>
      </c>
      <c r="Y302">
        <v>153.19999999999999</v>
      </c>
      <c r="Z302">
        <v>160</v>
      </c>
      <c r="AA302">
        <v>167.6</v>
      </c>
      <c r="AB302">
        <v>159.30000000000001</v>
      </c>
      <c r="AC302">
        <v>161.1</v>
      </c>
      <c r="AD302">
        <v>161.1</v>
      </c>
    </row>
    <row r="303" spans="1:30" x14ac:dyDescent="0.3">
      <c r="A303" t="s">
        <v>44</v>
      </c>
      <c r="B303">
        <v>2021</v>
      </c>
      <c r="C303" t="s">
        <v>42</v>
      </c>
      <c r="D303">
        <v>148.80000000000001</v>
      </c>
      <c r="E303">
        <v>204.3</v>
      </c>
      <c r="F303">
        <v>173</v>
      </c>
      <c r="G303">
        <v>156.5</v>
      </c>
      <c r="H303">
        <v>168.8</v>
      </c>
      <c r="I303">
        <v>172.5</v>
      </c>
      <c r="J303">
        <v>166.5</v>
      </c>
      <c r="K303">
        <v>165.9</v>
      </c>
      <c r="L303">
        <v>115.9</v>
      </c>
      <c r="M303">
        <v>165.2</v>
      </c>
      <c r="N303">
        <v>152</v>
      </c>
      <c r="O303">
        <v>171.1</v>
      </c>
      <c r="P303">
        <v>164.2</v>
      </c>
      <c r="Q303">
        <v>198.2</v>
      </c>
      <c r="R303">
        <v>156.5</v>
      </c>
      <c r="S303">
        <v>140.19999999999999</v>
      </c>
      <c r="T303">
        <v>154.1</v>
      </c>
      <c r="U303">
        <v>161.6</v>
      </c>
      <c r="V303">
        <v>155.5</v>
      </c>
      <c r="W303">
        <v>150.1</v>
      </c>
      <c r="X303">
        <v>160.4</v>
      </c>
      <c r="Y303">
        <v>145</v>
      </c>
      <c r="Z303">
        <v>152.6</v>
      </c>
      <c r="AA303">
        <v>156.6</v>
      </c>
      <c r="AB303">
        <v>157.5</v>
      </c>
      <c r="AC303">
        <v>152.30000000000001</v>
      </c>
      <c r="AD303">
        <v>159.5</v>
      </c>
    </row>
    <row r="304" spans="1:30" x14ac:dyDescent="0.3">
      <c r="A304" t="s">
        <v>45</v>
      </c>
      <c r="B304">
        <v>2021</v>
      </c>
      <c r="C304" t="s">
        <v>42</v>
      </c>
      <c r="D304">
        <v>146.30000000000001</v>
      </c>
      <c r="E304">
        <v>200.5</v>
      </c>
      <c r="F304">
        <v>170.3</v>
      </c>
      <c r="G304">
        <v>156.1</v>
      </c>
      <c r="H304">
        <v>178.7</v>
      </c>
      <c r="I304">
        <v>167.1</v>
      </c>
      <c r="J304">
        <v>147.9</v>
      </c>
      <c r="K304">
        <v>165.4</v>
      </c>
      <c r="L304">
        <v>114.8</v>
      </c>
      <c r="M304">
        <v>168.2</v>
      </c>
      <c r="N304">
        <v>159.30000000000001</v>
      </c>
      <c r="O304">
        <v>170.4</v>
      </c>
      <c r="P304">
        <v>160.69999999999999</v>
      </c>
      <c r="Q304">
        <v>191.9</v>
      </c>
      <c r="R304">
        <v>161.80000000000001</v>
      </c>
      <c r="S304">
        <v>152.1</v>
      </c>
      <c r="T304">
        <v>160.4</v>
      </c>
      <c r="U304">
        <v>161.6</v>
      </c>
      <c r="V304">
        <v>159.4</v>
      </c>
      <c r="W304">
        <v>154.69999999999999</v>
      </c>
      <c r="X304">
        <v>165.8</v>
      </c>
      <c r="Y304">
        <v>148.9</v>
      </c>
      <c r="Z304">
        <v>155.80000000000001</v>
      </c>
      <c r="AA304">
        <v>161.19999999999999</v>
      </c>
      <c r="AB304">
        <v>158.6</v>
      </c>
      <c r="AC304">
        <v>156.80000000000001</v>
      </c>
      <c r="AD304">
        <v>160.4</v>
      </c>
    </row>
    <row r="305" spans="1:30" x14ac:dyDescent="0.3">
      <c r="A305" t="s">
        <v>41</v>
      </c>
      <c r="B305">
        <v>2021</v>
      </c>
      <c r="C305" t="s">
        <v>60</v>
      </c>
      <c r="D305">
        <v>145.6</v>
      </c>
      <c r="E305">
        <v>200.1</v>
      </c>
      <c r="F305">
        <v>179.3</v>
      </c>
      <c r="G305">
        <v>156.1</v>
      </c>
      <c r="H305">
        <v>190.4</v>
      </c>
      <c r="I305">
        <v>158.6</v>
      </c>
      <c r="J305">
        <v>144.69999999999999</v>
      </c>
      <c r="K305">
        <v>165.5</v>
      </c>
      <c r="L305">
        <v>114.6</v>
      </c>
      <c r="M305">
        <v>170</v>
      </c>
      <c r="N305">
        <v>165.5</v>
      </c>
      <c r="O305">
        <v>171.7</v>
      </c>
      <c r="P305">
        <v>160.5</v>
      </c>
      <c r="Q305">
        <v>189.1</v>
      </c>
      <c r="R305">
        <v>165.3</v>
      </c>
      <c r="S305">
        <v>159.9</v>
      </c>
      <c r="T305">
        <v>164.6</v>
      </c>
      <c r="U305" t="s">
        <v>67</v>
      </c>
      <c r="V305">
        <v>162.1</v>
      </c>
      <c r="W305">
        <v>159.19999999999999</v>
      </c>
      <c r="X305">
        <v>169.7</v>
      </c>
      <c r="Y305">
        <v>154.19999999999999</v>
      </c>
      <c r="Z305">
        <v>160.4</v>
      </c>
      <c r="AA305">
        <v>166.8</v>
      </c>
      <c r="AB305">
        <v>159.4</v>
      </c>
      <c r="AC305">
        <v>161.5</v>
      </c>
      <c r="AD305">
        <v>162.1</v>
      </c>
    </row>
    <row r="306" spans="1:30" x14ac:dyDescent="0.3">
      <c r="A306" t="s">
        <v>44</v>
      </c>
      <c r="B306">
        <v>2021</v>
      </c>
      <c r="C306" t="s">
        <v>60</v>
      </c>
      <c r="D306">
        <v>149.19999999999999</v>
      </c>
      <c r="E306">
        <v>205.5</v>
      </c>
      <c r="F306">
        <v>182.8</v>
      </c>
      <c r="G306">
        <v>156.5</v>
      </c>
      <c r="H306">
        <v>172.2</v>
      </c>
      <c r="I306">
        <v>171.5</v>
      </c>
      <c r="J306">
        <v>176.2</v>
      </c>
      <c r="K306">
        <v>166.9</v>
      </c>
      <c r="L306">
        <v>116.1</v>
      </c>
      <c r="M306">
        <v>165.5</v>
      </c>
      <c r="N306">
        <v>152.30000000000001</v>
      </c>
      <c r="O306">
        <v>173.3</v>
      </c>
      <c r="P306">
        <v>166.2</v>
      </c>
      <c r="Q306">
        <v>195.6</v>
      </c>
      <c r="R306">
        <v>157.30000000000001</v>
      </c>
      <c r="S306">
        <v>140.5</v>
      </c>
      <c r="T306">
        <v>154.80000000000001</v>
      </c>
      <c r="U306">
        <v>160.5</v>
      </c>
      <c r="V306">
        <v>156.1</v>
      </c>
      <c r="W306">
        <v>149.80000000000001</v>
      </c>
      <c r="X306">
        <v>160.80000000000001</v>
      </c>
      <c r="Y306">
        <v>147.5</v>
      </c>
      <c r="Z306">
        <v>150.69999999999999</v>
      </c>
      <c r="AA306">
        <v>158.1</v>
      </c>
      <c r="AB306">
        <v>158</v>
      </c>
      <c r="AC306">
        <v>153.4</v>
      </c>
      <c r="AD306">
        <v>160.4</v>
      </c>
    </row>
    <row r="307" spans="1:30" x14ac:dyDescent="0.3">
      <c r="A307" t="s">
        <v>45</v>
      </c>
      <c r="B307">
        <v>2021</v>
      </c>
      <c r="C307" t="s">
        <v>60</v>
      </c>
      <c r="D307">
        <v>146.69999999999999</v>
      </c>
      <c r="E307">
        <v>202</v>
      </c>
      <c r="F307">
        <v>180.7</v>
      </c>
      <c r="G307">
        <v>156.19999999999999</v>
      </c>
      <c r="H307">
        <v>183.7</v>
      </c>
      <c r="I307">
        <v>164.6</v>
      </c>
      <c r="J307">
        <v>155.4</v>
      </c>
      <c r="K307">
        <v>166</v>
      </c>
      <c r="L307">
        <v>115.1</v>
      </c>
      <c r="M307">
        <v>168.5</v>
      </c>
      <c r="N307">
        <v>160</v>
      </c>
      <c r="O307">
        <v>172.4</v>
      </c>
      <c r="P307">
        <v>162.6</v>
      </c>
      <c r="Q307">
        <v>190.8</v>
      </c>
      <c r="R307">
        <v>162.19999999999999</v>
      </c>
      <c r="S307">
        <v>151.80000000000001</v>
      </c>
      <c r="T307">
        <v>160.69999999999999</v>
      </c>
      <c r="U307">
        <v>160.5</v>
      </c>
      <c r="V307">
        <v>159.80000000000001</v>
      </c>
      <c r="W307">
        <v>154.80000000000001</v>
      </c>
      <c r="X307">
        <v>166.3</v>
      </c>
      <c r="Y307">
        <v>150.69999999999999</v>
      </c>
      <c r="Z307">
        <v>154.9</v>
      </c>
      <c r="AA307">
        <v>161.69999999999999</v>
      </c>
      <c r="AB307">
        <v>158.80000000000001</v>
      </c>
      <c r="AC307">
        <v>157.6</v>
      </c>
      <c r="AD307">
        <v>161.30000000000001</v>
      </c>
    </row>
    <row r="308" spans="1:30" x14ac:dyDescent="0.3">
      <c r="A308" t="s">
        <v>41</v>
      </c>
      <c r="B308">
        <v>2021</v>
      </c>
      <c r="C308" t="s">
        <v>61</v>
      </c>
      <c r="D308">
        <v>145.1</v>
      </c>
      <c r="E308">
        <v>204.5</v>
      </c>
      <c r="F308">
        <v>180.4</v>
      </c>
      <c r="G308">
        <v>157.1</v>
      </c>
      <c r="H308">
        <v>188.7</v>
      </c>
      <c r="I308">
        <v>157.69999999999999</v>
      </c>
      <c r="J308">
        <v>152.80000000000001</v>
      </c>
      <c r="K308">
        <v>163.6</v>
      </c>
      <c r="L308">
        <v>113.9</v>
      </c>
      <c r="M308">
        <v>169.7</v>
      </c>
      <c r="N308">
        <v>166.2</v>
      </c>
      <c r="O308">
        <v>171</v>
      </c>
      <c r="P308">
        <v>161.69999999999999</v>
      </c>
      <c r="Q308">
        <v>189.7</v>
      </c>
      <c r="R308">
        <v>166</v>
      </c>
      <c r="S308">
        <v>161.1</v>
      </c>
      <c r="T308">
        <v>165.3</v>
      </c>
      <c r="U308" t="s">
        <v>67</v>
      </c>
      <c r="V308">
        <v>162.5</v>
      </c>
      <c r="W308">
        <v>160.30000000000001</v>
      </c>
      <c r="X308">
        <v>170.4</v>
      </c>
      <c r="Y308">
        <v>157.1</v>
      </c>
      <c r="Z308">
        <v>160.69999999999999</v>
      </c>
      <c r="AA308">
        <v>167.2</v>
      </c>
      <c r="AB308">
        <v>160.4</v>
      </c>
      <c r="AC308">
        <v>162.80000000000001</v>
      </c>
      <c r="AD308">
        <v>163.19999999999999</v>
      </c>
    </row>
    <row r="309" spans="1:30" x14ac:dyDescent="0.3">
      <c r="A309" t="s">
        <v>44</v>
      </c>
      <c r="B309">
        <v>2021</v>
      </c>
      <c r="C309" t="s">
        <v>61</v>
      </c>
      <c r="D309">
        <v>149.1</v>
      </c>
      <c r="E309">
        <v>210.9</v>
      </c>
      <c r="F309">
        <v>185</v>
      </c>
      <c r="G309">
        <v>158.19999999999999</v>
      </c>
      <c r="H309">
        <v>170.6</v>
      </c>
      <c r="I309">
        <v>170.9</v>
      </c>
      <c r="J309">
        <v>186.4</v>
      </c>
      <c r="K309">
        <v>164.7</v>
      </c>
      <c r="L309">
        <v>115.7</v>
      </c>
      <c r="M309">
        <v>165.5</v>
      </c>
      <c r="N309">
        <v>153.4</v>
      </c>
      <c r="O309">
        <v>173.5</v>
      </c>
      <c r="P309">
        <v>167.9</v>
      </c>
      <c r="Q309">
        <v>195.5</v>
      </c>
      <c r="R309">
        <v>157.9</v>
      </c>
      <c r="S309">
        <v>141.9</v>
      </c>
      <c r="T309">
        <v>155.5</v>
      </c>
      <c r="U309">
        <v>161.5</v>
      </c>
      <c r="V309">
        <v>157.69999999999999</v>
      </c>
      <c r="W309">
        <v>150.69999999999999</v>
      </c>
      <c r="X309">
        <v>161.5</v>
      </c>
      <c r="Y309">
        <v>149.5</v>
      </c>
      <c r="Z309">
        <v>151.19999999999999</v>
      </c>
      <c r="AA309">
        <v>160.30000000000001</v>
      </c>
      <c r="AB309">
        <v>159.6</v>
      </c>
      <c r="AC309">
        <v>155</v>
      </c>
      <c r="AD309">
        <v>161.80000000000001</v>
      </c>
    </row>
    <row r="310" spans="1:30" x14ac:dyDescent="0.3">
      <c r="A310" t="s">
        <v>45</v>
      </c>
      <c r="B310">
        <v>2021</v>
      </c>
      <c r="C310" t="s">
        <v>61</v>
      </c>
      <c r="D310">
        <v>146.4</v>
      </c>
      <c r="E310">
        <v>206.8</v>
      </c>
      <c r="F310">
        <v>182.2</v>
      </c>
      <c r="G310">
        <v>157.5</v>
      </c>
      <c r="H310">
        <v>182.1</v>
      </c>
      <c r="I310">
        <v>163.9</v>
      </c>
      <c r="J310">
        <v>164.2</v>
      </c>
      <c r="K310">
        <v>164</v>
      </c>
      <c r="L310">
        <v>114.5</v>
      </c>
      <c r="M310">
        <v>168.3</v>
      </c>
      <c r="N310">
        <v>160.9</v>
      </c>
      <c r="O310">
        <v>172.2</v>
      </c>
      <c r="P310">
        <v>164</v>
      </c>
      <c r="Q310">
        <v>191.2</v>
      </c>
      <c r="R310">
        <v>162.80000000000001</v>
      </c>
      <c r="S310">
        <v>153.1</v>
      </c>
      <c r="T310">
        <v>161.4</v>
      </c>
      <c r="U310">
        <v>161.5</v>
      </c>
      <c r="V310">
        <v>160.69999999999999</v>
      </c>
      <c r="W310">
        <v>155.80000000000001</v>
      </c>
      <c r="X310">
        <v>167</v>
      </c>
      <c r="Y310">
        <v>153.1</v>
      </c>
      <c r="Z310">
        <v>155.30000000000001</v>
      </c>
      <c r="AA310">
        <v>163.19999999999999</v>
      </c>
      <c r="AB310">
        <v>160.1</v>
      </c>
      <c r="AC310">
        <v>159</v>
      </c>
      <c r="AD310">
        <v>162.5</v>
      </c>
    </row>
    <row r="311" spans="1:30" x14ac:dyDescent="0.3">
      <c r="A311" t="s">
        <v>41</v>
      </c>
      <c r="B311">
        <v>2021</v>
      </c>
      <c r="C311" t="s">
        <v>62</v>
      </c>
      <c r="D311">
        <v>144.9</v>
      </c>
      <c r="E311">
        <v>202.3</v>
      </c>
      <c r="F311">
        <v>176.5</v>
      </c>
      <c r="G311">
        <v>157.5</v>
      </c>
      <c r="H311">
        <v>190.9</v>
      </c>
      <c r="I311">
        <v>155.69999999999999</v>
      </c>
      <c r="J311">
        <v>153.9</v>
      </c>
      <c r="K311">
        <v>162.80000000000001</v>
      </c>
      <c r="L311">
        <v>115.2</v>
      </c>
      <c r="M311">
        <v>169.8</v>
      </c>
      <c r="N311">
        <v>167.6</v>
      </c>
      <c r="O311">
        <v>171.9</v>
      </c>
      <c r="P311">
        <v>161.80000000000001</v>
      </c>
      <c r="Q311">
        <v>190.2</v>
      </c>
      <c r="R311">
        <v>167</v>
      </c>
      <c r="S311">
        <v>162.6</v>
      </c>
      <c r="T311">
        <v>166.3</v>
      </c>
      <c r="U311" t="s">
        <v>67</v>
      </c>
      <c r="V311">
        <v>163.1</v>
      </c>
      <c r="W311">
        <v>160.9</v>
      </c>
      <c r="X311">
        <v>171.1</v>
      </c>
      <c r="Y311">
        <v>157.69999999999999</v>
      </c>
      <c r="Z311">
        <v>161.1</v>
      </c>
      <c r="AA311">
        <v>167.5</v>
      </c>
      <c r="AB311">
        <v>160.30000000000001</v>
      </c>
      <c r="AC311">
        <v>163.30000000000001</v>
      </c>
      <c r="AD311">
        <v>163.6</v>
      </c>
    </row>
    <row r="312" spans="1:30" x14ac:dyDescent="0.3">
      <c r="A312" t="s">
        <v>44</v>
      </c>
      <c r="B312">
        <v>2021</v>
      </c>
      <c r="C312" t="s">
        <v>62</v>
      </c>
      <c r="D312">
        <v>149.30000000000001</v>
      </c>
      <c r="E312">
        <v>207.4</v>
      </c>
      <c r="F312">
        <v>174.1</v>
      </c>
      <c r="G312">
        <v>159.19999999999999</v>
      </c>
      <c r="H312">
        <v>175</v>
      </c>
      <c r="I312">
        <v>161.30000000000001</v>
      </c>
      <c r="J312">
        <v>183.3</v>
      </c>
      <c r="K312">
        <v>164.5</v>
      </c>
      <c r="L312">
        <v>120.4</v>
      </c>
      <c r="M312">
        <v>166.2</v>
      </c>
      <c r="N312">
        <v>154.80000000000001</v>
      </c>
      <c r="O312">
        <v>175.1</v>
      </c>
      <c r="P312">
        <v>167.3</v>
      </c>
      <c r="Q312">
        <v>196.5</v>
      </c>
      <c r="R312">
        <v>159.80000000000001</v>
      </c>
      <c r="S312">
        <v>143.6</v>
      </c>
      <c r="T312">
        <v>157.30000000000001</v>
      </c>
      <c r="U312">
        <v>162.1</v>
      </c>
      <c r="V312">
        <v>160.69999999999999</v>
      </c>
      <c r="W312">
        <v>153.19999999999999</v>
      </c>
      <c r="X312">
        <v>162.80000000000001</v>
      </c>
      <c r="Y312">
        <v>150.4</v>
      </c>
      <c r="Z312">
        <v>153.69999999999999</v>
      </c>
      <c r="AA312">
        <v>160.4</v>
      </c>
      <c r="AB312">
        <v>159.6</v>
      </c>
      <c r="AC312">
        <v>156</v>
      </c>
      <c r="AD312">
        <v>162.30000000000001</v>
      </c>
    </row>
    <row r="313" spans="1:30" x14ac:dyDescent="0.3">
      <c r="A313" t="s">
        <v>45</v>
      </c>
      <c r="B313">
        <v>2021</v>
      </c>
      <c r="C313" t="s">
        <v>62</v>
      </c>
      <c r="D313">
        <v>146.6</v>
      </c>
      <c r="E313">
        <v>204</v>
      </c>
      <c r="F313">
        <v>172.8</v>
      </c>
      <c r="G313">
        <v>158.4</v>
      </c>
      <c r="H313">
        <v>188</v>
      </c>
      <c r="I313">
        <v>156.80000000000001</v>
      </c>
      <c r="J313">
        <v>162.19999999999999</v>
      </c>
      <c r="K313">
        <v>164.1</v>
      </c>
      <c r="L313">
        <v>119.7</v>
      </c>
      <c r="M313">
        <v>168.8</v>
      </c>
      <c r="N313">
        <v>162.69999999999999</v>
      </c>
      <c r="O313">
        <v>173.9</v>
      </c>
      <c r="P313">
        <v>164</v>
      </c>
      <c r="Q313">
        <v>192.1</v>
      </c>
      <c r="R313">
        <v>164.5</v>
      </c>
      <c r="S313">
        <v>155.30000000000001</v>
      </c>
      <c r="T313">
        <v>163.19999999999999</v>
      </c>
      <c r="U313">
        <v>162.1</v>
      </c>
      <c r="V313">
        <v>162.6</v>
      </c>
      <c r="W313">
        <v>157.5</v>
      </c>
      <c r="X313">
        <v>168.4</v>
      </c>
      <c r="Y313">
        <v>154</v>
      </c>
      <c r="Z313">
        <v>157.6</v>
      </c>
      <c r="AA313">
        <v>163.80000000000001</v>
      </c>
      <c r="AB313">
        <v>160</v>
      </c>
      <c r="AC313">
        <v>160</v>
      </c>
      <c r="AD313">
        <v>163.19999999999999</v>
      </c>
    </row>
    <row r="314" spans="1:30" x14ac:dyDescent="0.3">
      <c r="A314" t="s">
        <v>41</v>
      </c>
      <c r="B314">
        <v>2021</v>
      </c>
      <c r="C314" t="s">
        <v>63</v>
      </c>
      <c r="D314">
        <v>145.4</v>
      </c>
      <c r="E314">
        <v>202.1</v>
      </c>
      <c r="F314">
        <v>172</v>
      </c>
      <c r="G314">
        <v>158</v>
      </c>
      <c r="H314">
        <v>195.5</v>
      </c>
      <c r="I314">
        <v>152.69999999999999</v>
      </c>
      <c r="J314">
        <v>151.4</v>
      </c>
      <c r="K314">
        <v>163.9</v>
      </c>
      <c r="L314">
        <v>119.3</v>
      </c>
      <c r="M314">
        <v>170.1</v>
      </c>
      <c r="N314">
        <v>168.3</v>
      </c>
      <c r="O314">
        <v>172.8</v>
      </c>
      <c r="P314">
        <v>162.1</v>
      </c>
      <c r="Q314">
        <v>190.5</v>
      </c>
      <c r="R314">
        <v>167.7</v>
      </c>
      <c r="S314">
        <v>163.6</v>
      </c>
      <c r="T314">
        <v>167.1</v>
      </c>
      <c r="U314" t="s">
        <v>67</v>
      </c>
      <c r="V314">
        <v>163.69999999999999</v>
      </c>
      <c r="W314">
        <v>161.30000000000001</v>
      </c>
      <c r="X314">
        <v>171.9</v>
      </c>
      <c r="Y314">
        <v>157.80000000000001</v>
      </c>
      <c r="Z314">
        <v>162.69999999999999</v>
      </c>
      <c r="AA314">
        <v>168.5</v>
      </c>
      <c r="AB314">
        <v>160.19999999999999</v>
      </c>
      <c r="AC314">
        <v>163.80000000000001</v>
      </c>
      <c r="AD314">
        <v>164</v>
      </c>
    </row>
    <row r="315" spans="1:30" x14ac:dyDescent="0.3">
      <c r="A315" t="s">
        <v>44</v>
      </c>
      <c r="B315">
        <v>2021</v>
      </c>
      <c r="C315" t="s">
        <v>63</v>
      </c>
      <c r="D315">
        <v>149.30000000000001</v>
      </c>
      <c r="E315">
        <v>207.4</v>
      </c>
      <c r="F315">
        <v>174.1</v>
      </c>
      <c r="G315">
        <v>159.1</v>
      </c>
      <c r="H315">
        <v>175</v>
      </c>
      <c r="I315">
        <v>161.19999999999999</v>
      </c>
      <c r="J315">
        <v>183.5</v>
      </c>
      <c r="K315">
        <v>164.5</v>
      </c>
      <c r="L315">
        <v>120.4</v>
      </c>
      <c r="M315">
        <v>166.2</v>
      </c>
      <c r="N315">
        <v>154.80000000000001</v>
      </c>
      <c r="O315">
        <v>175.1</v>
      </c>
      <c r="P315">
        <v>167.3</v>
      </c>
      <c r="Q315">
        <v>196.5</v>
      </c>
      <c r="R315">
        <v>159.80000000000001</v>
      </c>
      <c r="S315">
        <v>143.6</v>
      </c>
      <c r="T315">
        <v>157.4</v>
      </c>
      <c r="U315">
        <v>162.1</v>
      </c>
      <c r="V315">
        <v>160.80000000000001</v>
      </c>
      <c r="W315">
        <v>153.30000000000001</v>
      </c>
      <c r="X315">
        <v>162.80000000000001</v>
      </c>
      <c r="Y315">
        <v>150.5</v>
      </c>
      <c r="Z315">
        <v>153.9</v>
      </c>
      <c r="AA315">
        <v>160.30000000000001</v>
      </c>
      <c r="AB315">
        <v>159.6</v>
      </c>
      <c r="AC315">
        <v>156</v>
      </c>
      <c r="AD315">
        <v>162.30000000000001</v>
      </c>
    </row>
    <row r="316" spans="1:30" x14ac:dyDescent="0.3">
      <c r="A316" t="s">
        <v>45</v>
      </c>
      <c r="B316">
        <v>2021</v>
      </c>
      <c r="C316" t="s">
        <v>63</v>
      </c>
      <c r="D316">
        <v>146.6</v>
      </c>
      <c r="E316">
        <v>204</v>
      </c>
      <c r="F316">
        <v>172.8</v>
      </c>
      <c r="G316">
        <v>158.4</v>
      </c>
      <c r="H316">
        <v>188</v>
      </c>
      <c r="I316">
        <v>156.69999999999999</v>
      </c>
      <c r="J316">
        <v>162.30000000000001</v>
      </c>
      <c r="K316">
        <v>164.1</v>
      </c>
      <c r="L316">
        <v>119.7</v>
      </c>
      <c r="M316">
        <v>168.8</v>
      </c>
      <c r="N316">
        <v>162.69999999999999</v>
      </c>
      <c r="O316">
        <v>173.9</v>
      </c>
      <c r="P316">
        <v>164</v>
      </c>
      <c r="Q316">
        <v>192.1</v>
      </c>
      <c r="R316">
        <v>164.6</v>
      </c>
      <c r="S316">
        <v>155.30000000000001</v>
      </c>
      <c r="T316">
        <v>163.30000000000001</v>
      </c>
      <c r="U316">
        <v>162.1</v>
      </c>
      <c r="V316">
        <v>162.6</v>
      </c>
      <c r="W316">
        <v>157.5</v>
      </c>
      <c r="X316">
        <v>168.4</v>
      </c>
      <c r="Y316">
        <v>154</v>
      </c>
      <c r="Z316">
        <v>157.69999999999999</v>
      </c>
      <c r="AA316">
        <v>163.69999999999999</v>
      </c>
      <c r="AB316">
        <v>160</v>
      </c>
      <c r="AC316">
        <v>160</v>
      </c>
      <c r="AD316">
        <v>163.19999999999999</v>
      </c>
    </row>
    <row r="317" spans="1:30" x14ac:dyDescent="0.3">
      <c r="A317" t="s">
        <v>41</v>
      </c>
      <c r="B317">
        <v>2021</v>
      </c>
      <c r="C317" t="s">
        <v>64</v>
      </c>
      <c r="D317">
        <v>146.1</v>
      </c>
      <c r="E317">
        <v>202.5</v>
      </c>
      <c r="F317">
        <v>170.1</v>
      </c>
      <c r="G317">
        <v>158.4</v>
      </c>
      <c r="H317">
        <v>198.8</v>
      </c>
      <c r="I317">
        <v>152.6</v>
      </c>
      <c r="J317">
        <v>170.4</v>
      </c>
      <c r="K317">
        <v>165.2</v>
      </c>
      <c r="L317">
        <v>121.6</v>
      </c>
      <c r="M317">
        <v>170.6</v>
      </c>
      <c r="N317">
        <v>168.8</v>
      </c>
      <c r="O317">
        <v>173.6</v>
      </c>
      <c r="P317">
        <v>165.5</v>
      </c>
      <c r="Q317">
        <v>191.2</v>
      </c>
      <c r="R317">
        <v>168.9</v>
      </c>
      <c r="S317">
        <v>164.8</v>
      </c>
      <c r="T317">
        <v>168.3</v>
      </c>
      <c r="U317" t="s">
        <v>67</v>
      </c>
      <c r="V317">
        <v>165.5</v>
      </c>
      <c r="W317">
        <v>162</v>
      </c>
      <c r="X317">
        <v>172.5</v>
      </c>
      <c r="Y317">
        <v>159.5</v>
      </c>
      <c r="Z317">
        <v>163.19999999999999</v>
      </c>
      <c r="AA317">
        <v>169</v>
      </c>
      <c r="AB317">
        <v>161.1</v>
      </c>
      <c r="AC317">
        <v>164.7</v>
      </c>
      <c r="AD317">
        <v>166.3</v>
      </c>
    </row>
    <row r="318" spans="1:30" x14ac:dyDescent="0.3">
      <c r="A318" t="s">
        <v>44</v>
      </c>
      <c r="B318">
        <v>2021</v>
      </c>
      <c r="C318" t="s">
        <v>64</v>
      </c>
      <c r="D318">
        <v>150.1</v>
      </c>
      <c r="E318">
        <v>208.4</v>
      </c>
      <c r="F318">
        <v>173</v>
      </c>
      <c r="G318">
        <v>159.19999999999999</v>
      </c>
      <c r="H318">
        <v>176.6</v>
      </c>
      <c r="I318">
        <v>159.30000000000001</v>
      </c>
      <c r="J318">
        <v>214.4</v>
      </c>
      <c r="K318">
        <v>165.3</v>
      </c>
      <c r="L318">
        <v>122.5</v>
      </c>
      <c r="M318">
        <v>166.8</v>
      </c>
      <c r="N318">
        <v>155.4</v>
      </c>
      <c r="O318">
        <v>175.9</v>
      </c>
      <c r="P318">
        <v>171.5</v>
      </c>
      <c r="Q318">
        <v>197</v>
      </c>
      <c r="R318">
        <v>160.80000000000001</v>
      </c>
      <c r="S318">
        <v>144.4</v>
      </c>
      <c r="T318">
        <v>158.30000000000001</v>
      </c>
      <c r="U318">
        <v>163.6</v>
      </c>
      <c r="V318">
        <v>162.19999999999999</v>
      </c>
      <c r="W318">
        <v>154.30000000000001</v>
      </c>
      <c r="X318">
        <v>163.5</v>
      </c>
      <c r="Y318">
        <v>152.19999999999999</v>
      </c>
      <c r="Z318">
        <v>155.1</v>
      </c>
      <c r="AA318">
        <v>160.30000000000001</v>
      </c>
      <c r="AB318">
        <v>160.30000000000001</v>
      </c>
      <c r="AC318">
        <v>157</v>
      </c>
      <c r="AD318">
        <v>164.6</v>
      </c>
    </row>
    <row r="319" spans="1:30" x14ac:dyDescent="0.3">
      <c r="A319" t="s">
        <v>45</v>
      </c>
      <c r="B319">
        <v>2021</v>
      </c>
      <c r="C319" t="s">
        <v>64</v>
      </c>
      <c r="D319">
        <v>147.4</v>
      </c>
      <c r="E319">
        <v>204.6</v>
      </c>
      <c r="F319">
        <v>171.2</v>
      </c>
      <c r="G319">
        <v>158.69999999999999</v>
      </c>
      <c r="H319">
        <v>190.6</v>
      </c>
      <c r="I319">
        <v>155.69999999999999</v>
      </c>
      <c r="J319">
        <v>185.3</v>
      </c>
      <c r="K319">
        <v>165.2</v>
      </c>
      <c r="L319">
        <v>121.9</v>
      </c>
      <c r="M319">
        <v>169.3</v>
      </c>
      <c r="N319">
        <v>163.19999999999999</v>
      </c>
      <c r="O319">
        <v>174.7</v>
      </c>
      <c r="P319">
        <v>167.7</v>
      </c>
      <c r="Q319">
        <v>192.7</v>
      </c>
      <c r="R319">
        <v>165.7</v>
      </c>
      <c r="S319">
        <v>156.30000000000001</v>
      </c>
      <c r="T319">
        <v>164.3</v>
      </c>
      <c r="U319">
        <v>163.6</v>
      </c>
      <c r="V319">
        <v>164.2</v>
      </c>
      <c r="W319">
        <v>158.4</v>
      </c>
      <c r="X319">
        <v>169.1</v>
      </c>
      <c r="Y319">
        <v>155.69999999999999</v>
      </c>
      <c r="Z319">
        <v>158.6</v>
      </c>
      <c r="AA319">
        <v>163.9</v>
      </c>
      <c r="AB319">
        <v>160.80000000000001</v>
      </c>
      <c r="AC319">
        <v>161</v>
      </c>
      <c r="AD319">
        <v>165.5</v>
      </c>
    </row>
    <row r="320" spans="1:30" x14ac:dyDescent="0.3">
      <c r="A320" t="s">
        <v>41</v>
      </c>
      <c r="B320">
        <v>2021</v>
      </c>
      <c r="C320" t="s">
        <v>65</v>
      </c>
      <c r="D320">
        <v>146.9</v>
      </c>
      <c r="E320">
        <v>199.8</v>
      </c>
      <c r="F320">
        <v>171.5</v>
      </c>
      <c r="G320">
        <v>159.1</v>
      </c>
      <c r="H320">
        <v>198.4</v>
      </c>
      <c r="I320">
        <v>153.19999999999999</v>
      </c>
      <c r="J320">
        <v>183.9</v>
      </c>
      <c r="K320">
        <v>165.4</v>
      </c>
      <c r="L320">
        <v>122.1</v>
      </c>
      <c r="M320">
        <v>170.8</v>
      </c>
      <c r="N320">
        <v>169.1</v>
      </c>
      <c r="O320">
        <v>174.3</v>
      </c>
      <c r="P320">
        <v>167.5</v>
      </c>
      <c r="Q320">
        <v>191.4</v>
      </c>
      <c r="R320">
        <v>170.4</v>
      </c>
      <c r="S320">
        <v>166</v>
      </c>
      <c r="T320">
        <v>169.8</v>
      </c>
      <c r="U320" t="s">
        <v>67</v>
      </c>
      <c r="V320">
        <v>165.3</v>
      </c>
      <c r="W320">
        <v>162.9</v>
      </c>
      <c r="X320">
        <v>173.4</v>
      </c>
      <c r="Y320">
        <v>158.9</v>
      </c>
      <c r="Z320">
        <v>163.80000000000001</v>
      </c>
      <c r="AA320">
        <v>169.3</v>
      </c>
      <c r="AB320">
        <v>162.4</v>
      </c>
      <c r="AC320">
        <v>165.2</v>
      </c>
      <c r="AD320">
        <v>167.6</v>
      </c>
    </row>
    <row r="321" spans="1:30" x14ac:dyDescent="0.3">
      <c r="A321" t="s">
        <v>44</v>
      </c>
      <c r="B321">
        <v>2021</v>
      </c>
      <c r="C321" t="s">
        <v>65</v>
      </c>
      <c r="D321">
        <v>151</v>
      </c>
      <c r="E321">
        <v>204.9</v>
      </c>
      <c r="F321">
        <v>175.4</v>
      </c>
      <c r="G321">
        <v>159.6</v>
      </c>
      <c r="H321">
        <v>175.8</v>
      </c>
      <c r="I321">
        <v>160.30000000000001</v>
      </c>
      <c r="J321">
        <v>229.1</v>
      </c>
      <c r="K321">
        <v>165.1</v>
      </c>
      <c r="L321">
        <v>123.1</v>
      </c>
      <c r="M321">
        <v>167.2</v>
      </c>
      <c r="N321">
        <v>156.1</v>
      </c>
      <c r="O321">
        <v>176.8</v>
      </c>
      <c r="P321">
        <v>173.5</v>
      </c>
      <c r="Q321">
        <v>197</v>
      </c>
      <c r="R321">
        <v>162.30000000000001</v>
      </c>
      <c r="S321">
        <v>145.30000000000001</v>
      </c>
      <c r="T321">
        <v>159.69999999999999</v>
      </c>
      <c r="U321">
        <v>164.2</v>
      </c>
      <c r="V321">
        <v>161.6</v>
      </c>
      <c r="W321">
        <v>155.19999999999999</v>
      </c>
      <c r="X321">
        <v>164.2</v>
      </c>
      <c r="Y321">
        <v>151.19999999999999</v>
      </c>
      <c r="Z321">
        <v>156.69999999999999</v>
      </c>
      <c r="AA321">
        <v>160.80000000000001</v>
      </c>
      <c r="AB321">
        <v>161.80000000000001</v>
      </c>
      <c r="AC321">
        <v>157.30000000000001</v>
      </c>
      <c r="AD321">
        <v>165.6</v>
      </c>
    </row>
    <row r="322" spans="1:30" x14ac:dyDescent="0.3">
      <c r="A322" t="s">
        <v>45</v>
      </c>
      <c r="B322">
        <v>2021</v>
      </c>
      <c r="C322" t="s">
        <v>65</v>
      </c>
      <c r="D322">
        <v>148.19999999999999</v>
      </c>
      <c r="E322">
        <v>201.6</v>
      </c>
      <c r="F322">
        <v>173</v>
      </c>
      <c r="G322">
        <v>159.30000000000001</v>
      </c>
      <c r="H322">
        <v>190.1</v>
      </c>
      <c r="I322">
        <v>156.5</v>
      </c>
      <c r="J322">
        <v>199.2</v>
      </c>
      <c r="K322">
        <v>165.3</v>
      </c>
      <c r="L322">
        <v>122.4</v>
      </c>
      <c r="M322">
        <v>169.6</v>
      </c>
      <c r="N322">
        <v>163.69999999999999</v>
      </c>
      <c r="O322">
        <v>175.5</v>
      </c>
      <c r="P322">
        <v>169.7</v>
      </c>
      <c r="Q322">
        <v>192.9</v>
      </c>
      <c r="R322">
        <v>167.2</v>
      </c>
      <c r="S322">
        <v>157.4</v>
      </c>
      <c r="T322">
        <v>165.8</v>
      </c>
      <c r="U322">
        <v>164.2</v>
      </c>
      <c r="V322">
        <v>163.9</v>
      </c>
      <c r="W322">
        <v>159.30000000000001</v>
      </c>
      <c r="X322">
        <v>169.9</v>
      </c>
      <c r="Y322">
        <v>154.80000000000001</v>
      </c>
      <c r="Z322">
        <v>159.80000000000001</v>
      </c>
      <c r="AA322">
        <v>164.3</v>
      </c>
      <c r="AB322">
        <v>162.19999999999999</v>
      </c>
      <c r="AC322">
        <v>161.4</v>
      </c>
      <c r="AD322">
        <v>166.7</v>
      </c>
    </row>
    <row r="323" spans="1:30" x14ac:dyDescent="0.3">
      <c r="A323" t="s">
        <v>41</v>
      </c>
      <c r="B323">
        <v>2021</v>
      </c>
      <c r="C323" t="s">
        <v>66</v>
      </c>
      <c r="D323">
        <v>147.4</v>
      </c>
      <c r="E323">
        <v>197</v>
      </c>
      <c r="F323">
        <v>176.5</v>
      </c>
      <c r="G323">
        <v>159.80000000000001</v>
      </c>
      <c r="H323">
        <v>195.8</v>
      </c>
      <c r="I323">
        <v>152</v>
      </c>
      <c r="J323">
        <v>172.3</v>
      </c>
      <c r="K323">
        <v>164.5</v>
      </c>
      <c r="L323">
        <v>120.6</v>
      </c>
      <c r="M323">
        <v>171.7</v>
      </c>
      <c r="N323">
        <v>169.7</v>
      </c>
      <c r="O323">
        <v>175.1</v>
      </c>
      <c r="P323">
        <v>165.8</v>
      </c>
      <c r="Q323">
        <v>190.8</v>
      </c>
      <c r="R323">
        <v>171.8</v>
      </c>
      <c r="S323">
        <v>167.3</v>
      </c>
      <c r="T323">
        <v>171.2</v>
      </c>
      <c r="U323" t="s">
        <v>67</v>
      </c>
      <c r="V323">
        <v>165.6</v>
      </c>
      <c r="W323">
        <v>163.9</v>
      </c>
      <c r="X323">
        <v>174</v>
      </c>
      <c r="Y323">
        <v>160.1</v>
      </c>
      <c r="Z323">
        <v>164.5</v>
      </c>
      <c r="AA323">
        <v>169.7</v>
      </c>
      <c r="AB323">
        <v>162.80000000000001</v>
      </c>
      <c r="AC323">
        <v>166</v>
      </c>
      <c r="AD323">
        <v>167</v>
      </c>
    </row>
    <row r="324" spans="1:30" x14ac:dyDescent="0.3">
      <c r="A324" t="s">
        <v>44</v>
      </c>
      <c r="B324">
        <v>2021</v>
      </c>
      <c r="C324" t="s">
        <v>66</v>
      </c>
      <c r="D324">
        <v>151.6</v>
      </c>
      <c r="E324">
        <v>202.2</v>
      </c>
      <c r="F324">
        <v>180</v>
      </c>
      <c r="G324">
        <v>160</v>
      </c>
      <c r="H324">
        <v>173.5</v>
      </c>
      <c r="I324">
        <v>158.30000000000001</v>
      </c>
      <c r="J324">
        <v>219.5</v>
      </c>
      <c r="K324">
        <v>164.2</v>
      </c>
      <c r="L324">
        <v>121.9</v>
      </c>
      <c r="M324">
        <v>168.2</v>
      </c>
      <c r="N324">
        <v>156.5</v>
      </c>
      <c r="O324">
        <v>178.2</v>
      </c>
      <c r="P324">
        <v>172.2</v>
      </c>
      <c r="Q324">
        <v>196.8</v>
      </c>
      <c r="R324">
        <v>163.30000000000001</v>
      </c>
      <c r="S324">
        <v>146.69999999999999</v>
      </c>
      <c r="T324">
        <v>160.69999999999999</v>
      </c>
      <c r="U324">
        <v>163.4</v>
      </c>
      <c r="V324">
        <v>161.69999999999999</v>
      </c>
      <c r="W324">
        <v>156</v>
      </c>
      <c r="X324">
        <v>165.1</v>
      </c>
      <c r="Y324">
        <v>151.80000000000001</v>
      </c>
      <c r="Z324">
        <v>157.6</v>
      </c>
      <c r="AA324">
        <v>160.6</v>
      </c>
      <c r="AB324">
        <v>162.4</v>
      </c>
      <c r="AC324">
        <v>157.80000000000001</v>
      </c>
      <c r="AD324">
        <v>165.2</v>
      </c>
    </row>
    <row r="325" spans="1:30" x14ac:dyDescent="0.3">
      <c r="A325" t="s">
        <v>45</v>
      </c>
      <c r="B325">
        <v>2021</v>
      </c>
      <c r="C325" t="s">
        <v>66</v>
      </c>
      <c r="D325">
        <v>148.69999999999999</v>
      </c>
      <c r="E325">
        <v>198.8</v>
      </c>
      <c r="F325">
        <v>177.9</v>
      </c>
      <c r="G325">
        <v>159.9</v>
      </c>
      <c r="H325">
        <v>187.6</v>
      </c>
      <c r="I325">
        <v>154.9</v>
      </c>
      <c r="J325">
        <v>188.3</v>
      </c>
      <c r="K325">
        <v>164.4</v>
      </c>
      <c r="L325">
        <v>121</v>
      </c>
      <c r="M325">
        <v>170.5</v>
      </c>
      <c r="N325">
        <v>164.2</v>
      </c>
      <c r="O325">
        <v>176.5</v>
      </c>
      <c r="P325">
        <v>168.2</v>
      </c>
      <c r="Q325">
        <v>192.4</v>
      </c>
      <c r="R325">
        <v>168.5</v>
      </c>
      <c r="S325">
        <v>158.69999999999999</v>
      </c>
      <c r="T325">
        <v>167</v>
      </c>
      <c r="U325">
        <v>163.4</v>
      </c>
      <c r="V325">
        <v>164.1</v>
      </c>
      <c r="W325">
        <v>160.19999999999999</v>
      </c>
      <c r="X325">
        <v>170.6</v>
      </c>
      <c r="Y325">
        <v>155.69999999999999</v>
      </c>
      <c r="Z325">
        <v>160.6</v>
      </c>
      <c r="AA325">
        <v>164.4</v>
      </c>
      <c r="AB325">
        <v>162.6</v>
      </c>
      <c r="AC325">
        <v>162</v>
      </c>
      <c r="AD325">
        <v>166.2</v>
      </c>
    </row>
    <row r="326" spans="1:30" x14ac:dyDescent="0.3">
      <c r="A326" t="s">
        <v>41</v>
      </c>
      <c r="B326">
        <v>2022</v>
      </c>
      <c r="C326" t="s">
        <v>56</v>
      </c>
      <c r="D326">
        <v>148.30000000000001</v>
      </c>
      <c r="E326">
        <v>196.9</v>
      </c>
      <c r="F326">
        <v>178</v>
      </c>
      <c r="G326">
        <v>160.5</v>
      </c>
      <c r="H326">
        <v>192.6</v>
      </c>
      <c r="I326">
        <v>151.19999999999999</v>
      </c>
      <c r="J326">
        <v>159.19999999999999</v>
      </c>
      <c r="K326">
        <v>164</v>
      </c>
      <c r="L326">
        <v>119.3</v>
      </c>
      <c r="M326">
        <v>173.3</v>
      </c>
      <c r="N326">
        <v>169.8</v>
      </c>
      <c r="O326">
        <v>175.8</v>
      </c>
      <c r="P326">
        <v>164.1</v>
      </c>
      <c r="Q326">
        <v>190.7</v>
      </c>
      <c r="R326">
        <v>173.2</v>
      </c>
      <c r="S326">
        <v>169.3</v>
      </c>
      <c r="T326">
        <v>172.7</v>
      </c>
      <c r="U326" t="s">
        <v>67</v>
      </c>
      <c r="V326">
        <v>165.8</v>
      </c>
      <c r="W326">
        <v>164.9</v>
      </c>
      <c r="X326">
        <v>174.7</v>
      </c>
      <c r="Y326">
        <v>160.80000000000001</v>
      </c>
      <c r="Z326">
        <v>164.9</v>
      </c>
      <c r="AA326">
        <v>169.9</v>
      </c>
      <c r="AB326">
        <v>163.19999999999999</v>
      </c>
      <c r="AC326">
        <v>166.6</v>
      </c>
      <c r="AD326">
        <v>166.4</v>
      </c>
    </row>
    <row r="327" spans="1:30" x14ac:dyDescent="0.3">
      <c r="A327" t="s">
        <v>44</v>
      </c>
      <c r="B327">
        <v>2022</v>
      </c>
      <c r="C327" t="s">
        <v>56</v>
      </c>
      <c r="D327">
        <v>152.19999999999999</v>
      </c>
      <c r="E327">
        <v>202.1</v>
      </c>
      <c r="F327">
        <v>180.1</v>
      </c>
      <c r="G327">
        <v>160.4</v>
      </c>
      <c r="H327">
        <v>171</v>
      </c>
      <c r="I327">
        <v>156.5</v>
      </c>
      <c r="J327">
        <v>203.6</v>
      </c>
      <c r="K327">
        <v>163.80000000000001</v>
      </c>
      <c r="L327">
        <v>121.3</v>
      </c>
      <c r="M327">
        <v>169.8</v>
      </c>
      <c r="N327">
        <v>156.6</v>
      </c>
      <c r="O327">
        <v>179</v>
      </c>
      <c r="P327">
        <v>170.3</v>
      </c>
      <c r="Q327">
        <v>196.4</v>
      </c>
      <c r="R327">
        <v>164.7</v>
      </c>
      <c r="S327">
        <v>148.5</v>
      </c>
      <c r="T327">
        <v>162.19999999999999</v>
      </c>
      <c r="U327">
        <v>164.5</v>
      </c>
      <c r="V327">
        <v>161.6</v>
      </c>
      <c r="W327">
        <v>156.80000000000001</v>
      </c>
      <c r="X327">
        <v>166.1</v>
      </c>
      <c r="Y327">
        <v>152.69999999999999</v>
      </c>
      <c r="Z327">
        <v>158.4</v>
      </c>
      <c r="AA327">
        <v>161</v>
      </c>
      <c r="AB327">
        <v>162.80000000000001</v>
      </c>
      <c r="AC327">
        <v>158.6</v>
      </c>
      <c r="AD327">
        <v>165</v>
      </c>
    </row>
    <row r="328" spans="1:30" x14ac:dyDescent="0.3">
      <c r="A328" t="s">
        <v>45</v>
      </c>
      <c r="B328">
        <v>2022</v>
      </c>
      <c r="C328" t="s">
        <v>56</v>
      </c>
      <c r="D328">
        <v>149.5</v>
      </c>
      <c r="E328">
        <v>198.7</v>
      </c>
      <c r="F328">
        <v>178.8</v>
      </c>
      <c r="G328">
        <v>160.5</v>
      </c>
      <c r="H328">
        <v>184.7</v>
      </c>
      <c r="I328">
        <v>153.69999999999999</v>
      </c>
      <c r="J328">
        <v>174.3</v>
      </c>
      <c r="K328">
        <v>163.9</v>
      </c>
      <c r="L328">
        <v>120</v>
      </c>
      <c r="M328">
        <v>172.1</v>
      </c>
      <c r="N328">
        <v>164.3</v>
      </c>
      <c r="O328">
        <v>177.3</v>
      </c>
      <c r="P328">
        <v>166.4</v>
      </c>
      <c r="Q328">
        <v>192.2</v>
      </c>
      <c r="R328">
        <v>169.9</v>
      </c>
      <c r="S328">
        <v>160.69999999999999</v>
      </c>
      <c r="T328">
        <v>168.5</v>
      </c>
      <c r="U328">
        <v>164.5</v>
      </c>
      <c r="V328">
        <v>164.2</v>
      </c>
      <c r="W328">
        <v>161.1</v>
      </c>
      <c r="X328">
        <v>171.4</v>
      </c>
      <c r="Y328">
        <v>156.5</v>
      </c>
      <c r="Z328">
        <v>161.19999999999999</v>
      </c>
      <c r="AA328">
        <v>164.7</v>
      </c>
      <c r="AB328">
        <v>163</v>
      </c>
      <c r="AC328">
        <v>162.69999999999999</v>
      </c>
      <c r="AD328">
        <v>165.7</v>
      </c>
    </row>
    <row r="329" spans="1:30" x14ac:dyDescent="0.3">
      <c r="A329" t="s">
        <v>41</v>
      </c>
      <c r="B329">
        <v>2022</v>
      </c>
      <c r="C329" t="s">
        <v>57</v>
      </c>
      <c r="D329">
        <v>148.80000000000001</v>
      </c>
      <c r="E329">
        <v>198.1</v>
      </c>
      <c r="F329">
        <v>175.5</v>
      </c>
      <c r="G329">
        <v>160.69999999999999</v>
      </c>
      <c r="H329">
        <v>192.6</v>
      </c>
      <c r="I329">
        <v>151.4</v>
      </c>
      <c r="J329">
        <v>155.19999999999999</v>
      </c>
      <c r="K329">
        <v>163.9</v>
      </c>
      <c r="L329">
        <v>118.1</v>
      </c>
      <c r="M329">
        <v>175.4</v>
      </c>
      <c r="N329">
        <v>170.5</v>
      </c>
      <c r="O329">
        <v>176.3</v>
      </c>
      <c r="P329">
        <v>163.9</v>
      </c>
      <c r="Q329">
        <v>191.5</v>
      </c>
      <c r="R329">
        <v>174.1</v>
      </c>
      <c r="S329">
        <v>171</v>
      </c>
      <c r="T329">
        <v>173.7</v>
      </c>
      <c r="U329" t="s">
        <v>67</v>
      </c>
      <c r="V329">
        <v>167.4</v>
      </c>
      <c r="W329">
        <v>165.7</v>
      </c>
      <c r="X329">
        <v>175.3</v>
      </c>
      <c r="Y329">
        <v>161.19999999999999</v>
      </c>
      <c r="Z329">
        <v>165.5</v>
      </c>
      <c r="AA329">
        <v>170.3</v>
      </c>
      <c r="AB329">
        <v>164.5</v>
      </c>
      <c r="AC329">
        <v>167.3</v>
      </c>
      <c r="AD329">
        <v>166.7</v>
      </c>
    </row>
    <row r="330" spans="1:30" x14ac:dyDescent="0.3">
      <c r="A330" t="s">
        <v>44</v>
      </c>
      <c r="B330">
        <v>2022</v>
      </c>
      <c r="C330" t="s">
        <v>57</v>
      </c>
      <c r="D330">
        <v>152.5</v>
      </c>
      <c r="E330">
        <v>205.2</v>
      </c>
      <c r="F330">
        <v>176.4</v>
      </c>
      <c r="G330">
        <v>160.6</v>
      </c>
      <c r="H330">
        <v>171.5</v>
      </c>
      <c r="I330">
        <v>156.4</v>
      </c>
      <c r="J330">
        <v>198</v>
      </c>
      <c r="K330">
        <v>163.19999999999999</v>
      </c>
      <c r="L330">
        <v>120.6</v>
      </c>
      <c r="M330">
        <v>172.2</v>
      </c>
      <c r="N330">
        <v>156.69999999999999</v>
      </c>
      <c r="O330">
        <v>180</v>
      </c>
      <c r="P330">
        <v>170.2</v>
      </c>
      <c r="Q330">
        <v>196.5</v>
      </c>
      <c r="R330">
        <v>165.7</v>
      </c>
      <c r="S330">
        <v>150.4</v>
      </c>
      <c r="T330">
        <v>163.4</v>
      </c>
      <c r="U330">
        <v>165.5</v>
      </c>
      <c r="V330">
        <v>163</v>
      </c>
      <c r="W330">
        <v>157.4</v>
      </c>
      <c r="X330">
        <v>167.2</v>
      </c>
      <c r="Y330">
        <v>153.1</v>
      </c>
      <c r="Z330">
        <v>159.5</v>
      </c>
      <c r="AA330">
        <v>162</v>
      </c>
      <c r="AB330">
        <v>164.2</v>
      </c>
      <c r="AC330">
        <v>159.4</v>
      </c>
      <c r="AD330">
        <v>165.5</v>
      </c>
    </row>
    <row r="331" spans="1:30" x14ac:dyDescent="0.3">
      <c r="A331" t="s">
        <v>45</v>
      </c>
      <c r="B331">
        <v>2022</v>
      </c>
      <c r="C331" t="s">
        <v>57</v>
      </c>
      <c r="D331">
        <v>150</v>
      </c>
      <c r="E331">
        <v>200.6</v>
      </c>
      <c r="F331">
        <v>175.8</v>
      </c>
      <c r="G331">
        <v>160.69999999999999</v>
      </c>
      <c r="H331">
        <v>184.9</v>
      </c>
      <c r="I331">
        <v>153.69999999999999</v>
      </c>
      <c r="J331">
        <v>169.7</v>
      </c>
      <c r="K331">
        <v>163.69999999999999</v>
      </c>
      <c r="L331">
        <v>118.9</v>
      </c>
      <c r="M331">
        <v>174.3</v>
      </c>
      <c r="N331">
        <v>164.7</v>
      </c>
      <c r="O331">
        <v>178</v>
      </c>
      <c r="P331">
        <v>166.2</v>
      </c>
      <c r="Q331">
        <v>192.8</v>
      </c>
      <c r="R331">
        <v>170.8</v>
      </c>
      <c r="S331">
        <v>162.4</v>
      </c>
      <c r="T331">
        <v>169.6</v>
      </c>
      <c r="U331">
        <v>165.5</v>
      </c>
      <c r="V331">
        <v>165.7</v>
      </c>
      <c r="W331">
        <v>161.80000000000001</v>
      </c>
      <c r="X331">
        <v>172.2</v>
      </c>
      <c r="Y331">
        <v>156.9</v>
      </c>
      <c r="Z331">
        <v>162.1</v>
      </c>
      <c r="AA331">
        <v>165.4</v>
      </c>
      <c r="AB331">
        <v>164.4</v>
      </c>
      <c r="AC331">
        <v>163.5</v>
      </c>
      <c r="AD331">
        <v>166.1</v>
      </c>
    </row>
    <row r="332" spans="1:30" x14ac:dyDescent="0.3">
      <c r="A332" t="s">
        <v>41</v>
      </c>
      <c r="B332">
        <v>2022</v>
      </c>
      <c r="C332" t="s">
        <v>58</v>
      </c>
      <c r="D332">
        <v>150.19999999999999</v>
      </c>
      <c r="E332">
        <v>208</v>
      </c>
      <c r="F332">
        <v>167.9</v>
      </c>
      <c r="G332">
        <v>162</v>
      </c>
      <c r="H332">
        <v>203.1</v>
      </c>
      <c r="I332">
        <v>155.9</v>
      </c>
      <c r="J332">
        <v>155.80000000000001</v>
      </c>
      <c r="K332">
        <v>164.2</v>
      </c>
      <c r="L332">
        <v>118.1</v>
      </c>
      <c r="M332">
        <v>178.7</v>
      </c>
      <c r="N332">
        <v>171.2</v>
      </c>
      <c r="O332">
        <v>177.4</v>
      </c>
      <c r="P332">
        <v>166.6</v>
      </c>
      <c r="Q332">
        <v>192.3</v>
      </c>
      <c r="R332">
        <v>175.4</v>
      </c>
      <c r="S332">
        <v>173.2</v>
      </c>
      <c r="T332">
        <v>175.1</v>
      </c>
      <c r="U332" t="s">
        <v>67</v>
      </c>
      <c r="V332">
        <v>168.9</v>
      </c>
      <c r="W332">
        <v>166.5</v>
      </c>
      <c r="X332">
        <v>176</v>
      </c>
      <c r="Y332">
        <v>162</v>
      </c>
      <c r="Z332">
        <v>166.6</v>
      </c>
      <c r="AA332">
        <v>170.6</v>
      </c>
      <c r="AB332">
        <v>167.4</v>
      </c>
      <c r="AC332">
        <v>168.3</v>
      </c>
      <c r="AD332">
        <v>168.7</v>
      </c>
    </row>
    <row r="333" spans="1:30" x14ac:dyDescent="0.3">
      <c r="A333" t="s">
        <v>44</v>
      </c>
      <c r="B333">
        <v>2022</v>
      </c>
      <c r="C333" t="s">
        <v>58</v>
      </c>
      <c r="D333">
        <v>153.69999999999999</v>
      </c>
      <c r="E333">
        <v>215.8</v>
      </c>
      <c r="F333">
        <v>167.7</v>
      </c>
      <c r="G333">
        <v>162.6</v>
      </c>
      <c r="H333">
        <v>180</v>
      </c>
      <c r="I333">
        <v>159.6</v>
      </c>
      <c r="J333">
        <v>188.4</v>
      </c>
      <c r="K333">
        <v>163.4</v>
      </c>
      <c r="L333">
        <v>120.3</v>
      </c>
      <c r="M333">
        <v>174.7</v>
      </c>
      <c r="N333">
        <v>157.1</v>
      </c>
      <c r="O333">
        <v>181.5</v>
      </c>
      <c r="P333">
        <v>171.5</v>
      </c>
      <c r="Q333">
        <v>197.5</v>
      </c>
      <c r="R333">
        <v>167.1</v>
      </c>
      <c r="S333">
        <v>152.6</v>
      </c>
      <c r="T333">
        <v>164.9</v>
      </c>
      <c r="U333">
        <v>165.3</v>
      </c>
      <c r="V333">
        <v>164.5</v>
      </c>
      <c r="W333">
        <v>158.6</v>
      </c>
      <c r="X333">
        <v>168.2</v>
      </c>
      <c r="Y333">
        <v>154.19999999999999</v>
      </c>
      <c r="Z333">
        <v>160.80000000000001</v>
      </c>
      <c r="AA333">
        <v>162.69999999999999</v>
      </c>
      <c r="AB333">
        <v>166.8</v>
      </c>
      <c r="AC333">
        <v>160.6</v>
      </c>
      <c r="AD333">
        <v>166.5</v>
      </c>
    </row>
    <row r="334" spans="1:30" x14ac:dyDescent="0.3">
      <c r="A334" t="s">
        <v>45</v>
      </c>
      <c r="B334">
        <v>2022</v>
      </c>
      <c r="C334" t="s">
        <v>58</v>
      </c>
      <c r="D334">
        <v>151.30000000000001</v>
      </c>
      <c r="E334">
        <v>210.7</v>
      </c>
      <c r="F334">
        <v>167.8</v>
      </c>
      <c r="G334">
        <v>162.19999999999999</v>
      </c>
      <c r="H334">
        <v>194.6</v>
      </c>
      <c r="I334">
        <v>157.6</v>
      </c>
      <c r="J334">
        <v>166.9</v>
      </c>
      <c r="K334">
        <v>163.9</v>
      </c>
      <c r="L334">
        <v>118.8</v>
      </c>
      <c r="M334">
        <v>177.4</v>
      </c>
      <c r="N334">
        <v>165.3</v>
      </c>
      <c r="O334">
        <v>179.3</v>
      </c>
      <c r="P334">
        <v>168.4</v>
      </c>
      <c r="Q334">
        <v>193.7</v>
      </c>
      <c r="R334">
        <v>172.1</v>
      </c>
      <c r="S334">
        <v>164.6</v>
      </c>
      <c r="T334">
        <v>171.1</v>
      </c>
      <c r="U334">
        <v>165.3</v>
      </c>
      <c r="V334">
        <v>167.2</v>
      </c>
      <c r="W334">
        <v>162.80000000000001</v>
      </c>
      <c r="X334">
        <v>173</v>
      </c>
      <c r="Y334">
        <v>157.9</v>
      </c>
      <c r="Z334">
        <v>163.30000000000001</v>
      </c>
      <c r="AA334">
        <v>166</v>
      </c>
      <c r="AB334">
        <v>167.2</v>
      </c>
      <c r="AC334">
        <v>164.6</v>
      </c>
      <c r="AD334">
        <v>167.7</v>
      </c>
    </row>
    <row r="335" spans="1:30" x14ac:dyDescent="0.3">
      <c r="A335" t="s">
        <v>41</v>
      </c>
      <c r="B335">
        <v>2022</v>
      </c>
      <c r="C335" t="s">
        <v>59</v>
      </c>
      <c r="D335">
        <v>151.80000000000001</v>
      </c>
      <c r="E335">
        <v>209.7</v>
      </c>
      <c r="F335">
        <v>164.5</v>
      </c>
      <c r="G335">
        <v>163.80000000000001</v>
      </c>
      <c r="H335">
        <v>207.4</v>
      </c>
      <c r="I335">
        <v>169.7</v>
      </c>
      <c r="J335">
        <v>153.6</v>
      </c>
      <c r="K335">
        <v>165.1</v>
      </c>
      <c r="L335">
        <v>118.2</v>
      </c>
      <c r="M335">
        <v>182.9</v>
      </c>
      <c r="N335">
        <v>172.4</v>
      </c>
      <c r="O335">
        <v>178.9</v>
      </c>
      <c r="P335">
        <v>168.6</v>
      </c>
      <c r="Q335">
        <v>192.8</v>
      </c>
      <c r="R335">
        <v>177.5</v>
      </c>
      <c r="S335">
        <v>175.1</v>
      </c>
      <c r="T335">
        <v>177.1</v>
      </c>
      <c r="U335" t="s">
        <v>67</v>
      </c>
      <c r="V335">
        <v>173.3</v>
      </c>
      <c r="W335">
        <v>167.7</v>
      </c>
      <c r="X335">
        <v>177</v>
      </c>
      <c r="Y335">
        <v>166.2</v>
      </c>
      <c r="Z335">
        <v>167.2</v>
      </c>
      <c r="AA335">
        <v>170.9</v>
      </c>
      <c r="AB335">
        <v>169</v>
      </c>
      <c r="AC335">
        <v>170.2</v>
      </c>
      <c r="AD335">
        <v>170.8</v>
      </c>
    </row>
    <row r="336" spans="1:30" x14ac:dyDescent="0.3">
      <c r="A336" t="s">
        <v>44</v>
      </c>
      <c r="B336">
        <v>2022</v>
      </c>
      <c r="C336" t="s">
        <v>59</v>
      </c>
      <c r="D336">
        <v>155.4</v>
      </c>
      <c r="E336">
        <v>215.8</v>
      </c>
      <c r="F336">
        <v>164.6</v>
      </c>
      <c r="G336">
        <v>164.2</v>
      </c>
      <c r="H336">
        <v>186</v>
      </c>
      <c r="I336">
        <v>175.9</v>
      </c>
      <c r="J336">
        <v>190.7</v>
      </c>
      <c r="K336">
        <v>164</v>
      </c>
      <c r="L336">
        <v>120.5</v>
      </c>
      <c r="M336">
        <v>178</v>
      </c>
      <c r="N336">
        <v>157.5</v>
      </c>
      <c r="O336">
        <v>183.3</v>
      </c>
      <c r="P336">
        <v>174.5</v>
      </c>
      <c r="Q336">
        <v>197.1</v>
      </c>
      <c r="R336">
        <v>168.4</v>
      </c>
      <c r="S336">
        <v>154.5</v>
      </c>
      <c r="T336">
        <v>166.3</v>
      </c>
      <c r="U336">
        <v>167</v>
      </c>
      <c r="V336">
        <v>170.5</v>
      </c>
      <c r="W336">
        <v>159.80000000000001</v>
      </c>
      <c r="X336">
        <v>169</v>
      </c>
      <c r="Y336">
        <v>159.30000000000001</v>
      </c>
      <c r="Z336">
        <v>162.19999999999999</v>
      </c>
      <c r="AA336">
        <v>164</v>
      </c>
      <c r="AB336">
        <v>168.4</v>
      </c>
      <c r="AC336">
        <v>163.1</v>
      </c>
      <c r="AD336">
        <v>169.2</v>
      </c>
    </row>
    <row r="337" spans="1:30" x14ac:dyDescent="0.3">
      <c r="A337" t="s">
        <v>45</v>
      </c>
      <c r="B337">
        <v>2022</v>
      </c>
      <c r="C337" t="s">
        <v>59</v>
      </c>
      <c r="D337">
        <v>152.9</v>
      </c>
      <c r="E337">
        <v>211.8</v>
      </c>
      <c r="F337">
        <v>164.5</v>
      </c>
      <c r="G337">
        <v>163.9</v>
      </c>
      <c r="H337">
        <v>199.5</v>
      </c>
      <c r="I337">
        <v>172.6</v>
      </c>
      <c r="J337">
        <v>166.2</v>
      </c>
      <c r="K337">
        <v>164.7</v>
      </c>
      <c r="L337">
        <v>119</v>
      </c>
      <c r="M337">
        <v>181.3</v>
      </c>
      <c r="N337">
        <v>166.2</v>
      </c>
      <c r="O337">
        <v>180.9</v>
      </c>
      <c r="P337">
        <v>170.8</v>
      </c>
      <c r="Q337">
        <v>193.9</v>
      </c>
      <c r="R337">
        <v>173.9</v>
      </c>
      <c r="S337">
        <v>166.5</v>
      </c>
      <c r="T337">
        <v>172.8</v>
      </c>
      <c r="U337">
        <v>167</v>
      </c>
      <c r="V337">
        <v>172.2</v>
      </c>
      <c r="W337">
        <v>164</v>
      </c>
      <c r="X337">
        <v>174</v>
      </c>
      <c r="Y337">
        <v>162.6</v>
      </c>
      <c r="Z337">
        <v>164.4</v>
      </c>
      <c r="AA337">
        <v>166.9</v>
      </c>
      <c r="AB337">
        <v>168.8</v>
      </c>
      <c r="AC337">
        <v>166.8</v>
      </c>
      <c r="AD337">
        <v>170.1</v>
      </c>
    </row>
    <row r="338" spans="1:30" x14ac:dyDescent="0.3">
      <c r="A338" t="s">
        <v>41</v>
      </c>
      <c r="B338">
        <v>2022</v>
      </c>
      <c r="C338" t="s">
        <v>42</v>
      </c>
      <c r="D338">
        <v>152.9</v>
      </c>
      <c r="E338">
        <v>214.7</v>
      </c>
      <c r="F338">
        <v>161.4</v>
      </c>
      <c r="G338">
        <v>164.6</v>
      </c>
      <c r="H338">
        <v>209.9</v>
      </c>
      <c r="I338">
        <v>168</v>
      </c>
      <c r="J338">
        <v>160.4</v>
      </c>
      <c r="K338">
        <v>165</v>
      </c>
      <c r="L338">
        <v>118.9</v>
      </c>
      <c r="M338">
        <v>186.6</v>
      </c>
      <c r="N338">
        <v>173.2</v>
      </c>
      <c r="O338">
        <v>180.4</v>
      </c>
      <c r="P338">
        <v>170.8</v>
      </c>
      <c r="Q338">
        <v>192.9</v>
      </c>
      <c r="R338">
        <v>179.3</v>
      </c>
      <c r="S338">
        <v>177.2</v>
      </c>
      <c r="T338">
        <v>179</v>
      </c>
      <c r="U338" t="s">
        <v>67</v>
      </c>
      <c r="V338">
        <v>175.3</v>
      </c>
      <c r="W338">
        <v>168.9</v>
      </c>
      <c r="X338">
        <v>177.7</v>
      </c>
      <c r="Y338">
        <v>167.1</v>
      </c>
      <c r="Z338">
        <v>167.6</v>
      </c>
      <c r="AA338">
        <v>171.8</v>
      </c>
      <c r="AB338">
        <v>168.5</v>
      </c>
      <c r="AC338">
        <v>170.9</v>
      </c>
      <c r="AD338">
        <v>172.5</v>
      </c>
    </row>
    <row r="339" spans="1:30" x14ac:dyDescent="0.3">
      <c r="A339" t="s">
        <v>44</v>
      </c>
      <c r="B339">
        <v>2022</v>
      </c>
      <c r="C339" t="s">
        <v>42</v>
      </c>
      <c r="D339">
        <v>156.69999999999999</v>
      </c>
      <c r="E339">
        <v>221.2</v>
      </c>
      <c r="F339">
        <v>164.1</v>
      </c>
      <c r="G339">
        <v>165.4</v>
      </c>
      <c r="H339">
        <v>189.5</v>
      </c>
      <c r="I339">
        <v>174.5</v>
      </c>
      <c r="J339">
        <v>203.2</v>
      </c>
      <c r="K339">
        <v>164.1</v>
      </c>
      <c r="L339">
        <v>121.2</v>
      </c>
      <c r="M339">
        <v>181.4</v>
      </c>
      <c r="N339">
        <v>158.5</v>
      </c>
      <c r="O339">
        <v>184.9</v>
      </c>
      <c r="P339">
        <v>177.5</v>
      </c>
      <c r="Q339">
        <v>197.5</v>
      </c>
      <c r="R339">
        <v>170</v>
      </c>
      <c r="S339">
        <v>155.9</v>
      </c>
      <c r="T339">
        <v>167.8</v>
      </c>
      <c r="U339">
        <v>167.5</v>
      </c>
      <c r="V339">
        <v>173.5</v>
      </c>
      <c r="W339">
        <v>161.1</v>
      </c>
      <c r="X339">
        <v>170.1</v>
      </c>
      <c r="Y339">
        <v>159.4</v>
      </c>
      <c r="Z339">
        <v>163.19999999999999</v>
      </c>
      <c r="AA339">
        <v>165.2</v>
      </c>
      <c r="AB339">
        <v>168.2</v>
      </c>
      <c r="AC339">
        <v>163.80000000000001</v>
      </c>
      <c r="AD339">
        <v>170.8</v>
      </c>
    </row>
    <row r="340" spans="1:30" x14ac:dyDescent="0.3">
      <c r="A340" t="s">
        <v>45</v>
      </c>
      <c r="B340">
        <v>2022</v>
      </c>
      <c r="C340" t="s">
        <v>42</v>
      </c>
      <c r="D340">
        <v>154.1</v>
      </c>
      <c r="E340">
        <v>217</v>
      </c>
      <c r="F340">
        <v>162.4</v>
      </c>
      <c r="G340">
        <v>164.9</v>
      </c>
      <c r="H340">
        <v>202.4</v>
      </c>
      <c r="I340">
        <v>171</v>
      </c>
      <c r="J340">
        <v>174.9</v>
      </c>
      <c r="K340">
        <v>164.7</v>
      </c>
      <c r="L340">
        <v>119.7</v>
      </c>
      <c r="M340">
        <v>184.9</v>
      </c>
      <c r="N340">
        <v>167.1</v>
      </c>
      <c r="O340">
        <v>182.5</v>
      </c>
      <c r="P340">
        <v>173.3</v>
      </c>
      <c r="Q340">
        <v>194.1</v>
      </c>
      <c r="R340">
        <v>175.6</v>
      </c>
      <c r="S340">
        <v>168.4</v>
      </c>
      <c r="T340">
        <v>174.6</v>
      </c>
      <c r="U340">
        <v>167.5</v>
      </c>
      <c r="V340">
        <v>174.6</v>
      </c>
      <c r="W340">
        <v>165.2</v>
      </c>
      <c r="X340">
        <v>174.8</v>
      </c>
      <c r="Y340">
        <v>163</v>
      </c>
      <c r="Z340">
        <v>165.1</v>
      </c>
      <c r="AA340">
        <v>167.9</v>
      </c>
      <c r="AB340">
        <v>168.4</v>
      </c>
      <c r="AC340">
        <v>167.5</v>
      </c>
      <c r="AD340">
        <v>171.7</v>
      </c>
    </row>
    <row r="341" spans="1:30" x14ac:dyDescent="0.3">
      <c r="A341" t="s">
        <v>41</v>
      </c>
      <c r="B341">
        <v>2022</v>
      </c>
      <c r="C341" t="s">
        <v>60</v>
      </c>
      <c r="D341">
        <v>153.80000000000001</v>
      </c>
      <c r="E341">
        <v>217.2</v>
      </c>
      <c r="F341">
        <v>169.6</v>
      </c>
      <c r="G341">
        <v>165.4</v>
      </c>
      <c r="H341">
        <v>208.1</v>
      </c>
      <c r="I341">
        <v>165.8</v>
      </c>
      <c r="J341">
        <v>167.3</v>
      </c>
      <c r="K341">
        <v>164.6</v>
      </c>
      <c r="L341">
        <v>119.1</v>
      </c>
      <c r="M341">
        <v>188.9</v>
      </c>
      <c r="N341">
        <v>174.2</v>
      </c>
      <c r="O341">
        <v>181.9</v>
      </c>
      <c r="P341">
        <v>172.4</v>
      </c>
      <c r="Q341">
        <v>192.9</v>
      </c>
      <c r="R341">
        <v>180.7</v>
      </c>
      <c r="S341">
        <v>178.7</v>
      </c>
      <c r="T341">
        <v>180.4</v>
      </c>
      <c r="U341" t="s">
        <v>67</v>
      </c>
      <c r="V341">
        <v>176.7</v>
      </c>
      <c r="W341">
        <v>170.3</v>
      </c>
      <c r="X341">
        <v>178.2</v>
      </c>
      <c r="Y341">
        <v>165.5</v>
      </c>
      <c r="Z341">
        <v>168</v>
      </c>
      <c r="AA341">
        <v>172.6</v>
      </c>
      <c r="AB341">
        <v>169.5</v>
      </c>
      <c r="AC341">
        <v>171</v>
      </c>
      <c r="AD341">
        <v>173.6</v>
      </c>
    </row>
    <row r="342" spans="1:30" x14ac:dyDescent="0.3">
      <c r="A342" t="s">
        <v>44</v>
      </c>
      <c r="B342">
        <v>2022</v>
      </c>
      <c r="C342" t="s">
        <v>60</v>
      </c>
      <c r="D342">
        <v>157.5</v>
      </c>
      <c r="E342">
        <v>223.4</v>
      </c>
      <c r="F342">
        <v>172.8</v>
      </c>
      <c r="G342">
        <v>166.4</v>
      </c>
      <c r="H342">
        <v>188.6</v>
      </c>
      <c r="I342">
        <v>174.1</v>
      </c>
      <c r="J342">
        <v>211.5</v>
      </c>
      <c r="K342">
        <v>163.6</v>
      </c>
      <c r="L342">
        <v>121.4</v>
      </c>
      <c r="M342">
        <v>183.5</v>
      </c>
      <c r="N342">
        <v>159.1</v>
      </c>
      <c r="O342">
        <v>186.3</v>
      </c>
      <c r="P342">
        <v>179.3</v>
      </c>
      <c r="Q342">
        <v>198.3</v>
      </c>
      <c r="R342">
        <v>171.6</v>
      </c>
      <c r="S342">
        <v>157.4</v>
      </c>
      <c r="T342">
        <v>169.4</v>
      </c>
      <c r="U342">
        <v>166.8</v>
      </c>
      <c r="V342">
        <v>174.9</v>
      </c>
      <c r="W342">
        <v>162.1</v>
      </c>
      <c r="X342">
        <v>170.9</v>
      </c>
      <c r="Y342">
        <v>157.19999999999999</v>
      </c>
      <c r="Z342">
        <v>164.1</v>
      </c>
      <c r="AA342">
        <v>166.5</v>
      </c>
      <c r="AB342">
        <v>169.2</v>
      </c>
      <c r="AC342">
        <v>163.80000000000001</v>
      </c>
      <c r="AD342">
        <v>171.4</v>
      </c>
    </row>
    <row r="343" spans="1:30" x14ac:dyDescent="0.3">
      <c r="A343" t="s">
        <v>45</v>
      </c>
      <c r="B343">
        <v>2022</v>
      </c>
      <c r="C343" t="s">
        <v>60</v>
      </c>
      <c r="D343">
        <v>155</v>
      </c>
      <c r="E343">
        <v>219.4</v>
      </c>
      <c r="F343">
        <v>170.8</v>
      </c>
      <c r="G343">
        <v>165.8</v>
      </c>
      <c r="H343">
        <v>200.9</v>
      </c>
      <c r="I343">
        <v>169.7</v>
      </c>
      <c r="J343">
        <v>182.3</v>
      </c>
      <c r="K343">
        <v>164.3</v>
      </c>
      <c r="L343">
        <v>119.9</v>
      </c>
      <c r="M343">
        <v>187.1</v>
      </c>
      <c r="N343">
        <v>167.9</v>
      </c>
      <c r="O343">
        <v>183.9</v>
      </c>
      <c r="P343">
        <v>174.9</v>
      </c>
      <c r="Q343">
        <v>194.3</v>
      </c>
      <c r="R343">
        <v>177.1</v>
      </c>
      <c r="S343">
        <v>169.9</v>
      </c>
      <c r="T343">
        <v>176</v>
      </c>
      <c r="U343">
        <v>166.8</v>
      </c>
      <c r="V343">
        <v>176</v>
      </c>
      <c r="W343">
        <v>166.4</v>
      </c>
      <c r="X343">
        <v>175.4</v>
      </c>
      <c r="Y343">
        <v>161.1</v>
      </c>
      <c r="Z343">
        <v>165.8</v>
      </c>
      <c r="AA343">
        <v>169</v>
      </c>
      <c r="AB343">
        <v>169.4</v>
      </c>
      <c r="AC343">
        <v>167.5</v>
      </c>
      <c r="AD343">
        <v>172.6</v>
      </c>
    </row>
    <row r="344" spans="1:30" x14ac:dyDescent="0.3">
      <c r="A344" t="s">
        <v>41</v>
      </c>
      <c r="B344">
        <v>2022</v>
      </c>
      <c r="C344" t="s">
        <v>61</v>
      </c>
      <c r="D344">
        <v>155.19999999999999</v>
      </c>
      <c r="E344">
        <v>210.8</v>
      </c>
      <c r="F344">
        <v>174.3</v>
      </c>
      <c r="G344">
        <v>166.3</v>
      </c>
      <c r="H344">
        <v>202.2</v>
      </c>
      <c r="I344">
        <v>169.6</v>
      </c>
      <c r="J344">
        <v>168.6</v>
      </c>
      <c r="K344">
        <v>164.4</v>
      </c>
      <c r="L344">
        <v>119.2</v>
      </c>
      <c r="M344">
        <v>191.8</v>
      </c>
      <c r="N344">
        <v>174.5</v>
      </c>
      <c r="O344">
        <v>183.1</v>
      </c>
      <c r="P344">
        <v>172.5</v>
      </c>
      <c r="Q344">
        <v>193.2</v>
      </c>
      <c r="R344">
        <v>182</v>
      </c>
      <c r="S344">
        <v>180.3</v>
      </c>
      <c r="T344">
        <v>181.7</v>
      </c>
      <c r="U344" t="s">
        <v>67</v>
      </c>
      <c r="V344">
        <v>179.6</v>
      </c>
      <c r="W344">
        <v>171.3</v>
      </c>
      <c r="X344">
        <v>178.8</v>
      </c>
      <c r="Y344">
        <v>166.3</v>
      </c>
      <c r="Z344">
        <v>168.6</v>
      </c>
      <c r="AA344">
        <v>174.7</v>
      </c>
      <c r="AB344">
        <v>169.7</v>
      </c>
      <c r="AC344">
        <v>171.8</v>
      </c>
      <c r="AD344">
        <v>174.3</v>
      </c>
    </row>
    <row r="345" spans="1:30" x14ac:dyDescent="0.3">
      <c r="A345" t="s">
        <v>44</v>
      </c>
      <c r="B345">
        <v>2022</v>
      </c>
      <c r="C345" t="s">
        <v>61</v>
      </c>
      <c r="D345">
        <v>159.30000000000001</v>
      </c>
      <c r="E345">
        <v>217.1</v>
      </c>
      <c r="F345">
        <v>176.6</v>
      </c>
      <c r="G345">
        <v>167.1</v>
      </c>
      <c r="H345">
        <v>184.8</v>
      </c>
      <c r="I345">
        <v>179.5</v>
      </c>
      <c r="J345">
        <v>208.5</v>
      </c>
      <c r="K345">
        <v>164</v>
      </c>
      <c r="L345">
        <v>121.5</v>
      </c>
      <c r="M345">
        <v>186.3</v>
      </c>
      <c r="N345">
        <v>159.80000000000001</v>
      </c>
      <c r="O345">
        <v>187.7</v>
      </c>
      <c r="P345">
        <v>179.4</v>
      </c>
      <c r="Q345">
        <v>198.6</v>
      </c>
      <c r="R345">
        <v>172.7</v>
      </c>
      <c r="S345">
        <v>158.69999999999999</v>
      </c>
      <c r="T345">
        <v>170.6</v>
      </c>
      <c r="U345">
        <v>167.8</v>
      </c>
      <c r="V345">
        <v>179.5</v>
      </c>
      <c r="W345">
        <v>163.1</v>
      </c>
      <c r="X345">
        <v>171.7</v>
      </c>
      <c r="Y345">
        <v>157.4</v>
      </c>
      <c r="Z345">
        <v>164.6</v>
      </c>
      <c r="AA345">
        <v>169.1</v>
      </c>
      <c r="AB345">
        <v>169.8</v>
      </c>
      <c r="AC345">
        <v>164.7</v>
      </c>
      <c r="AD345">
        <v>172.3</v>
      </c>
    </row>
    <row r="346" spans="1:30" x14ac:dyDescent="0.3">
      <c r="A346" t="s">
        <v>45</v>
      </c>
      <c r="B346">
        <v>2022</v>
      </c>
      <c r="C346" t="s">
        <v>61</v>
      </c>
      <c r="D346">
        <v>156.5</v>
      </c>
      <c r="E346">
        <v>213</v>
      </c>
      <c r="F346">
        <v>175.2</v>
      </c>
      <c r="G346">
        <v>166.6</v>
      </c>
      <c r="H346">
        <v>195.8</v>
      </c>
      <c r="I346">
        <v>174.2</v>
      </c>
      <c r="J346">
        <v>182.1</v>
      </c>
      <c r="K346">
        <v>164.3</v>
      </c>
      <c r="L346">
        <v>120</v>
      </c>
      <c r="M346">
        <v>190</v>
      </c>
      <c r="N346">
        <v>168.4</v>
      </c>
      <c r="O346">
        <v>185.2</v>
      </c>
      <c r="P346">
        <v>175</v>
      </c>
      <c r="Q346">
        <v>194.6</v>
      </c>
      <c r="R346">
        <v>178.3</v>
      </c>
      <c r="S346">
        <v>171.3</v>
      </c>
      <c r="T346">
        <v>177.3</v>
      </c>
      <c r="U346">
        <v>167.8</v>
      </c>
      <c r="V346">
        <v>179.6</v>
      </c>
      <c r="W346">
        <v>167.4</v>
      </c>
      <c r="X346">
        <v>176.1</v>
      </c>
      <c r="Y346">
        <v>161.6</v>
      </c>
      <c r="Z346">
        <v>166.3</v>
      </c>
      <c r="AA346">
        <v>171.4</v>
      </c>
      <c r="AB346">
        <v>169.7</v>
      </c>
      <c r="AC346">
        <v>168.4</v>
      </c>
      <c r="AD346">
        <v>173.4</v>
      </c>
    </row>
    <row r="347" spans="1:30" x14ac:dyDescent="0.3">
      <c r="A347" t="s">
        <v>41</v>
      </c>
      <c r="B347">
        <v>2022</v>
      </c>
      <c r="C347" t="s">
        <v>62</v>
      </c>
      <c r="D347">
        <v>159.5</v>
      </c>
      <c r="E347">
        <v>204.1</v>
      </c>
      <c r="F347">
        <v>168.3</v>
      </c>
      <c r="G347">
        <v>167.9</v>
      </c>
      <c r="H347">
        <v>198.1</v>
      </c>
      <c r="I347">
        <v>169.2</v>
      </c>
      <c r="J347">
        <v>173.1</v>
      </c>
      <c r="K347">
        <v>167.1</v>
      </c>
      <c r="L347">
        <v>120.2</v>
      </c>
      <c r="M347">
        <v>195.6</v>
      </c>
      <c r="N347">
        <v>174.8</v>
      </c>
      <c r="O347">
        <v>184</v>
      </c>
      <c r="P347">
        <v>173.9</v>
      </c>
      <c r="Q347">
        <v>193.7</v>
      </c>
      <c r="R347">
        <v>183.2</v>
      </c>
      <c r="S347">
        <v>181.7</v>
      </c>
      <c r="T347">
        <v>183</v>
      </c>
      <c r="U347" t="s">
        <v>67</v>
      </c>
      <c r="V347">
        <v>179.1</v>
      </c>
      <c r="W347">
        <v>172.3</v>
      </c>
      <c r="X347">
        <v>179.4</v>
      </c>
      <c r="Y347">
        <v>166.6</v>
      </c>
      <c r="Z347">
        <v>169.3</v>
      </c>
      <c r="AA347">
        <v>175.7</v>
      </c>
      <c r="AB347">
        <v>171.1</v>
      </c>
      <c r="AC347">
        <v>172.6</v>
      </c>
      <c r="AD347">
        <v>175.3</v>
      </c>
    </row>
    <row r="348" spans="1:30" x14ac:dyDescent="0.3">
      <c r="A348" t="s">
        <v>44</v>
      </c>
      <c r="B348">
        <v>2022</v>
      </c>
      <c r="C348" t="s">
        <v>62</v>
      </c>
      <c r="D348">
        <v>162.1</v>
      </c>
      <c r="E348">
        <v>210.9</v>
      </c>
      <c r="F348">
        <v>170.6</v>
      </c>
      <c r="G348">
        <v>168.4</v>
      </c>
      <c r="H348">
        <v>182.5</v>
      </c>
      <c r="I348">
        <v>177.1</v>
      </c>
      <c r="J348">
        <v>213.1</v>
      </c>
      <c r="K348">
        <v>167.3</v>
      </c>
      <c r="L348">
        <v>122.2</v>
      </c>
      <c r="M348">
        <v>189.7</v>
      </c>
      <c r="N348">
        <v>160.5</v>
      </c>
      <c r="O348">
        <v>188.9</v>
      </c>
      <c r="P348">
        <v>180.4</v>
      </c>
      <c r="Q348">
        <v>198.7</v>
      </c>
      <c r="R348">
        <v>173.7</v>
      </c>
      <c r="S348">
        <v>160</v>
      </c>
      <c r="T348">
        <v>171.6</v>
      </c>
      <c r="U348">
        <v>169</v>
      </c>
      <c r="V348">
        <v>178.4</v>
      </c>
      <c r="W348">
        <v>164.2</v>
      </c>
      <c r="X348">
        <v>172.6</v>
      </c>
      <c r="Y348">
        <v>157.69999999999999</v>
      </c>
      <c r="Z348">
        <v>165.1</v>
      </c>
      <c r="AA348">
        <v>169.9</v>
      </c>
      <c r="AB348">
        <v>171.4</v>
      </c>
      <c r="AC348">
        <v>165.4</v>
      </c>
      <c r="AD348">
        <v>173.1</v>
      </c>
    </row>
    <row r="349" spans="1:30" x14ac:dyDescent="0.3">
      <c r="A349" t="s">
        <v>45</v>
      </c>
      <c r="B349">
        <v>2022</v>
      </c>
      <c r="C349" t="s">
        <v>62</v>
      </c>
      <c r="D349">
        <v>160.30000000000001</v>
      </c>
      <c r="E349">
        <v>206.5</v>
      </c>
      <c r="F349">
        <v>169.2</v>
      </c>
      <c r="G349">
        <v>168.1</v>
      </c>
      <c r="H349">
        <v>192.4</v>
      </c>
      <c r="I349">
        <v>172.9</v>
      </c>
      <c r="J349">
        <v>186.7</v>
      </c>
      <c r="K349">
        <v>167.2</v>
      </c>
      <c r="L349">
        <v>120.9</v>
      </c>
      <c r="M349">
        <v>193.6</v>
      </c>
      <c r="N349">
        <v>168.8</v>
      </c>
      <c r="O349">
        <v>186.3</v>
      </c>
      <c r="P349">
        <v>176.3</v>
      </c>
      <c r="Q349">
        <v>195</v>
      </c>
      <c r="R349">
        <v>179.5</v>
      </c>
      <c r="S349">
        <v>172.7</v>
      </c>
      <c r="T349">
        <v>178.5</v>
      </c>
      <c r="U349">
        <v>169</v>
      </c>
      <c r="V349">
        <v>178.8</v>
      </c>
      <c r="W349">
        <v>168.5</v>
      </c>
      <c r="X349">
        <v>176.8</v>
      </c>
      <c r="Y349">
        <v>161.9</v>
      </c>
      <c r="Z349">
        <v>166.9</v>
      </c>
      <c r="AA349">
        <v>172.3</v>
      </c>
      <c r="AB349">
        <v>171.2</v>
      </c>
      <c r="AC349">
        <v>169.1</v>
      </c>
      <c r="AD349">
        <v>174.3</v>
      </c>
    </row>
    <row r="350" spans="1:30" x14ac:dyDescent="0.3">
      <c r="A350" t="s">
        <v>41</v>
      </c>
      <c r="B350">
        <v>2022</v>
      </c>
      <c r="C350" t="s">
        <v>63</v>
      </c>
      <c r="D350">
        <v>162.9</v>
      </c>
      <c r="E350">
        <v>206.7</v>
      </c>
      <c r="F350">
        <v>169</v>
      </c>
      <c r="G350">
        <v>169.5</v>
      </c>
      <c r="H350">
        <v>194.1</v>
      </c>
      <c r="I350">
        <v>164.1</v>
      </c>
      <c r="J350">
        <v>176.9</v>
      </c>
      <c r="K350">
        <v>169</v>
      </c>
      <c r="L350">
        <v>120.8</v>
      </c>
      <c r="M350">
        <v>199.1</v>
      </c>
      <c r="N350">
        <v>175.4</v>
      </c>
      <c r="O350">
        <v>184.8</v>
      </c>
      <c r="P350">
        <v>175.5</v>
      </c>
      <c r="Q350">
        <v>194.5</v>
      </c>
      <c r="R350">
        <v>184.7</v>
      </c>
      <c r="S350">
        <v>183.3</v>
      </c>
      <c r="T350">
        <v>184.5</v>
      </c>
      <c r="U350" t="s">
        <v>67</v>
      </c>
      <c r="V350">
        <v>179.7</v>
      </c>
      <c r="W350">
        <v>173.6</v>
      </c>
      <c r="X350">
        <v>180.2</v>
      </c>
      <c r="Y350">
        <v>166.9</v>
      </c>
      <c r="Z350">
        <v>170</v>
      </c>
      <c r="AA350">
        <v>176.2</v>
      </c>
      <c r="AB350">
        <v>170.8</v>
      </c>
      <c r="AC350">
        <v>173.1</v>
      </c>
      <c r="AD350">
        <v>176.4</v>
      </c>
    </row>
    <row r="351" spans="1:30" x14ac:dyDescent="0.3">
      <c r="A351" t="s">
        <v>44</v>
      </c>
      <c r="B351">
        <v>2022</v>
      </c>
      <c r="C351" t="s">
        <v>63</v>
      </c>
      <c r="D351">
        <v>164.9</v>
      </c>
      <c r="E351">
        <v>213.7</v>
      </c>
      <c r="F351">
        <v>170.9</v>
      </c>
      <c r="G351">
        <v>170.1</v>
      </c>
      <c r="H351">
        <v>179.3</v>
      </c>
      <c r="I351">
        <v>167.5</v>
      </c>
      <c r="J351">
        <v>220.8</v>
      </c>
      <c r="K351">
        <v>169.2</v>
      </c>
      <c r="L351">
        <v>123.1</v>
      </c>
      <c r="M351">
        <v>193.6</v>
      </c>
      <c r="N351">
        <v>161.1</v>
      </c>
      <c r="O351">
        <v>190.4</v>
      </c>
      <c r="P351">
        <v>181.8</v>
      </c>
      <c r="Q351">
        <v>199.7</v>
      </c>
      <c r="R351">
        <v>175</v>
      </c>
      <c r="S351">
        <v>161.69999999999999</v>
      </c>
      <c r="T351">
        <v>173</v>
      </c>
      <c r="U351">
        <v>169.5</v>
      </c>
      <c r="V351">
        <v>179.2</v>
      </c>
      <c r="W351">
        <v>165</v>
      </c>
      <c r="X351">
        <v>173.8</v>
      </c>
      <c r="Y351">
        <v>158.19999999999999</v>
      </c>
      <c r="Z351">
        <v>165.8</v>
      </c>
      <c r="AA351">
        <v>170.9</v>
      </c>
      <c r="AB351">
        <v>171.1</v>
      </c>
      <c r="AC351">
        <v>166.1</v>
      </c>
      <c r="AD351">
        <v>174.1</v>
      </c>
    </row>
    <row r="352" spans="1:30" x14ac:dyDescent="0.3">
      <c r="A352" t="s">
        <v>45</v>
      </c>
      <c r="B352">
        <v>2022</v>
      </c>
      <c r="C352" t="s">
        <v>63</v>
      </c>
      <c r="D352">
        <v>163.5</v>
      </c>
      <c r="E352">
        <v>209.2</v>
      </c>
      <c r="F352">
        <v>169.7</v>
      </c>
      <c r="G352">
        <v>169.7</v>
      </c>
      <c r="H352">
        <v>188.7</v>
      </c>
      <c r="I352">
        <v>165.7</v>
      </c>
      <c r="J352">
        <v>191.8</v>
      </c>
      <c r="K352">
        <v>169.1</v>
      </c>
      <c r="L352">
        <v>121.6</v>
      </c>
      <c r="M352">
        <v>197.3</v>
      </c>
      <c r="N352">
        <v>169.4</v>
      </c>
      <c r="O352">
        <v>187.4</v>
      </c>
      <c r="P352">
        <v>177.8</v>
      </c>
      <c r="Q352">
        <v>195.9</v>
      </c>
      <c r="R352">
        <v>180.9</v>
      </c>
      <c r="S352">
        <v>174.3</v>
      </c>
      <c r="T352">
        <v>179.9</v>
      </c>
      <c r="U352">
        <v>169.5</v>
      </c>
      <c r="V352">
        <v>179.5</v>
      </c>
      <c r="W352">
        <v>169.5</v>
      </c>
      <c r="X352">
        <v>177.8</v>
      </c>
      <c r="Y352">
        <v>162.30000000000001</v>
      </c>
      <c r="Z352">
        <v>167.6</v>
      </c>
      <c r="AA352">
        <v>173.1</v>
      </c>
      <c r="AB352">
        <v>170.9</v>
      </c>
      <c r="AC352">
        <v>169.7</v>
      </c>
      <c r="AD352">
        <v>175.3</v>
      </c>
    </row>
    <row r="353" spans="1:30" x14ac:dyDescent="0.3">
      <c r="A353" t="s">
        <v>41</v>
      </c>
      <c r="B353">
        <v>2022</v>
      </c>
      <c r="C353" t="s">
        <v>64</v>
      </c>
      <c r="D353">
        <v>164.7</v>
      </c>
      <c r="E353">
        <v>208.8</v>
      </c>
      <c r="F353">
        <v>170.3</v>
      </c>
      <c r="G353">
        <v>170.9</v>
      </c>
      <c r="H353">
        <v>191.6</v>
      </c>
      <c r="I353">
        <v>162.19999999999999</v>
      </c>
      <c r="J353">
        <v>184.8</v>
      </c>
      <c r="K353">
        <v>169.7</v>
      </c>
      <c r="L353">
        <v>121.1</v>
      </c>
      <c r="M353">
        <v>201.6</v>
      </c>
      <c r="N353">
        <v>175.8</v>
      </c>
      <c r="O353">
        <v>185.6</v>
      </c>
      <c r="P353">
        <v>177.4</v>
      </c>
      <c r="Q353">
        <v>194.9</v>
      </c>
      <c r="R353">
        <v>186.1</v>
      </c>
      <c r="S353">
        <v>184.4</v>
      </c>
      <c r="T353">
        <v>185.9</v>
      </c>
      <c r="U353" t="s">
        <v>67</v>
      </c>
      <c r="V353">
        <v>180.8</v>
      </c>
      <c r="W353">
        <v>174.4</v>
      </c>
      <c r="X353">
        <v>181.2</v>
      </c>
      <c r="Y353">
        <v>167.4</v>
      </c>
      <c r="Z353">
        <v>170.6</v>
      </c>
      <c r="AA353">
        <v>176.5</v>
      </c>
      <c r="AB353">
        <v>172</v>
      </c>
      <c r="AC353">
        <v>173.9</v>
      </c>
      <c r="AD353">
        <v>177.9</v>
      </c>
    </row>
    <row r="354" spans="1:30" x14ac:dyDescent="0.3">
      <c r="A354" t="s">
        <v>44</v>
      </c>
      <c r="B354">
        <v>2022</v>
      </c>
      <c r="C354" t="s">
        <v>64</v>
      </c>
      <c r="D354">
        <v>166.4</v>
      </c>
      <c r="E354">
        <v>214.9</v>
      </c>
      <c r="F354">
        <v>171.9</v>
      </c>
      <c r="G354">
        <v>171</v>
      </c>
      <c r="H354">
        <v>177.7</v>
      </c>
      <c r="I354">
        <v>165.7</v>
      </c>
      <c r="J354">
        <v>228.6</v>
      </c>
      <c r="K354">
        <v>169.9</v>
      </c>
      <c r="L354">
        <v>123.4</v>
      </c>
      <c r="M354">
        <v>196.4</v>
      </c>
      <c r="N354">
        <v>161.6</v>
      </c>
      <c r="O354">
        <v>191.5</v>
      </c>
      <c r="P354">
        <v>183.3</v>
      </c>
      <c r="Q354">
        <v>200.1</v>
      </c>
      <c r="R354">
        <v>175.5</v>
      </c>
      <c r="S354">
        <v>162.6</v>
      </c>
      <c r="T354">
        <v>173.6</v>
      </c>
      <c r="U354">
        <v>171.2</v>
      </c>
      <c r="V354">
        <v>180</v>
      </c>
      <c r="W354">
        <v>166</v>
      </c>
      <c r="X354">
        <v>174.7</v>
      </c>
      <c r="Y354">
        <v>158.80000000000001</v>
      </c>
      <c r="Z354">
        <v>166.3</v>
      </c>
      <c r="AA354">
        <v>171.2</v>
      </c>
      <c r="AB354">
        <v>172.3</v>
      </c>
      <c r="AC354">
        <v>166.8</v>
      </c>
      <c r="AD354">
        <v>175.3</v>
      </c>
    </row>
    <row r="355" spans="1:30" x14ac:dyDescent="0.3">
      <c r="A355" t="s">
        <v>45</v>
      </c>
      <c r="B355">
        <v>2022</v>
      </c>
      <c r="C355" t="s">
        <v>64</v>
      </c>
      <c r="D355">
        <v>165.2</v>
      </c>
      <c r="E355">
        <v>210.9</v>
      </c>
      <c r="F355">
        <v>170.9</v>
      </c>
      <c r="G355">
        <v>170.9</v>
      </c>
      <c r="H355">
        <v>186.5</v>
      </c>
      <c r="I355">
        <v>163.80000000000001</v>
      </c>
      <c r="J355">
        <v>199.7</v>
      </c>
      <c r="K355">
        <v>169.8</v>
      </c>
      <c r="L355">
        <v>121.9</v>
      </c>
      <c r="M355">
        <v>199.9</v>
      </c>
      <c r="N355">
        <v>169.9</v>
      </c>
      <c r="O355">
        <v>188.3</v>
      </c>
      <c r="P355">
        <v>179.6</v>
      </c>
      <c r="Q355">
        <v>196.3</v>
      </c>
      <c r="R355">
        <v>181.9</v>
      </c>
      <c r="S355">
        <v>175.3</v>
      </c>
      <c r="T355">
        <v>181</v>
      </c>
      <c r="U355">
        <v>171.2</v>
      </c>
      <c r="V355">
        <v>180.5</v>
      </c>
      <c r="W355">
        <v>170.4</v>
      </c>
      <c r="X355">
        <v>178.7</v>
      </c>
      <c r="Y355">
        <v>162.9</v>
      </c>
      <c r="Z355">
        <v>168.2</v>
      </c>
      <c r="AA355">
        <v>173.4</v>
      </c>
      <c r="AB355">
        <v>172.1</v>
      </c>
      <c r="AC355">
        <v>170.5</v>
      </c>
      <c r="AD355">
        <v>176.7</v>
      </c>
    </row>
    <row r="356" spans="1:30" x14ac:dyDescent="0.3">
      <c r="A356" t="s">
        <v>41</v>
      </c>
      <c r="B356">
        <v>2022</v>
      </c>
      <c r="C356" t="s">
        <v>65</v>
      </c>
      <c r="D356">
        <v>166.9</v>
      </c>
      <c r="E356">
        <v>207.2</v>
      </c>
      <c r="F356">
        <v>180.2</v>
      </c>
      <c r="G356">
        <v>172.3</v>
      </c>
      <c r="H356">
        <v>194</v>
      </c>
      <c r="I356">
        <v>159.1</v>
      </c>
      <c r="J356">
        <v>171.6</v>
      </c>
      <c r="K356">
        <v>170.2</v>
      </c>
      <c r="L356">
        <v>121.5</v>
      </c>
      <c r="M356">
        <v>204.8</v>
      </c>
      <c r="N356">
        <v>176.4</v>
      </c>
      <c r="O356">
        <v>186.9</v>
      </c>
      <c r="P356">
        <v>176.6</v>
      </c>
      <c r="Q356">
        <v>195.5</v>
      </c>
      <c r="R356">
        <v>187.2</v>
      </c>
      <c r="S356">
        <v>185.2</v>
      </c>
      <c r="T356">
        <v>186.9</v>
      </c>
      <c r="U356" t="s">
        <v>67</v>
      </c>
      <c r="V356">
        <v>181.9</v>
      </c>
      <c r="W356">
        <v>175.5</v>
      </c>
      <c r="X356">
        <v>182.3</v>
      </c>
      <c r="Y356">
        <v>167.5</v>
      </c>
      <c r="Z356">
        <v>170.8</v>
      </c>
      <c r="AA356">
        <v>176.9</v>
      </c>
      <c r="AB356">
        <v>173.4</v>
      </c>
      <c r="AC356">
        <v>174.6</v>
      </c>
      <c r="AD356">
        <v>177.8</v>
      </c>
    </row>
    <row r="357" spans="1:30" x14ac:dyDescent="0.3">
      <c r="A357" t="s">
        <v>44</v>
      </c>
      <c r="B357">
        <v>2022</v>
      </c>
      <c r="C357" t="s">
        <v>65</v>
      </c>
      <c r="D357">
        <v>168.4</v>
      </c>
      <c r="E357">
        <v>213.4</v>
      </c>
      <c r="F357">
        <v>183.2</v>
      </c>
      <c r="G357">
        <v>172.3</v>
      </c>
      <c r="H357">
        <v>180</v>
      </c>
      <c r="I357">
        <v>162.6</v>
      </c>
      <c r="J357">
        <v>205.5</v>
      </c>
      <c r="K357">
        <v>171</v>
      </c>
      <c r="L357">
        <v>123.4</v>
      </c>
      <c r="M357">
        <v>198.8</v>
      </c>
      <c r="N357">
        <v>162.1</v>
      </c>
      <c r="O357">
        <v>192.4</v>
      </c>
      <c r="P357">
        <v>181.3</v>
      </c>
      <c r="Q357">
        <v>200.6</v>
      </c>
      <c r="R357">
        <v>176.7</v>
      </c>
      <c r="S357">
        <v>163.5</v>
      </c>
      <c r="T357">
        <v>174.7</v>
      </c>
      <c r="U357">
        <v>171.8</v>
      </c>
      <c r="V357">
        <v>180.3</v>
      </c>
      <c r="W357">
        <v>166.9</v>
      </c>
      <c r="X357">
        <v>175.8</v>
      </c>
      <c r="Y357">
        <v>158.9</v>
      </c>
      <c r="Z357">
        <v>166.7</v>
      </c>
      <c r="AA357">
        <v>171.5</v>
      </c>
      <c r="AB357">
        <v>173.8</v>
      </c>
      <c r="AC357">
        <v>167.4</v>
      </c>
      <c r="AD357">
        <v>174.1</v>
      </c>
    </row>
    <row r="358" spans="1:30" x14ac:dyDescent="0.3">
      <c r="A358" t="s">
        <v>45</v>
      </c>
      <c r="B358">
        <v>2022</v>
      </c>
      <c r="C358" t="s">
        <v>65</v>
      </c>
      <c r="D358">
        <v>167.4</v>
      </c>
      <c r="E358">
        <v>209.4</v>
      </c>
      <c r="F358">
        <v>181.4</v>
      </c>
      <c r="G358">
        <v>172.3</v>
      </c>
      <c r="H358">
        <v>188.9</v>
      </c>
      <c r="I358">
        <v>160.69999999999999</v>
      </c>
      <c r="J358">
        <v>183.1</v>
      </c>
      <c r="K358">
        <v>170.5</v>
      </c>
      <c r="L358">
        <v>122.1</v>
      </c>
      <c r="M358">
        <v>202.8</v>
      </c>
      <c r="N358">
        <v>170.4</v>
      </c>
      <c r="O358">
        <v>189.5</v>
      </c>
      <c r="P358">
        <v>178.3</v>
      </c>
      <c r="Q358">
        <v>196.9</v>
      </c>
      <c r="R358">
        <v>183.1</v>
      </c>
      <c r="S358">
        <v>176.2</v>
      </c>
      <c r="T358">
        <v>182.1</v>
      </c>
      <c r="U358">
        <v>171.8</v>
      </c>
      <c r="V358">
        <v>181.3</v>
      </c>
      <c r="W358">
        <v>171.4</v>
      </c>
      <c r="X358">
        <v>179.8</v>
      </c>
      <c r="Y358">
        <v>163</v>
      </c>
      <c r="Z358">
        <v>168.5</v>
      </c>
      <c r="AA358">
        <v>173.7</v>
      </c>
      <c r="AB358">
        <v>173.6</v>
      </c>
      <c r="AC358">
        <v>171.1</v>
      </c>
      <c r="AD358">
        <v>176.5</v>
      </c>
    </row>
    <row r="359" spans="1:30" x14ac:dyDescent="0.3">
      <c r="A359" t="s">
        <v>41</v>
      </c>
      <c r="B359">
        <v>2022</v>
      </c>
      <c r="C359" t="s">
        <v>66</v>
      </c>
      <c r="D359">
        <v>168.8</v>
      </c>
      <c r="E359">
        <v>206.9</v>
      </c>
      <c r="F359">
        <v>189.1</v>
      </c>
      <c r="G359">
        <v>173.4</v>
      </c>
      <c r="H359">
        <v>193.9</v>
      </c>
      <c r="I359">
        <v>156.69999999999999</v>
      </c>
      <c r="J359">
        <v>150.19999999999999</v>
      </c>
      <c r="K359">
        <v>170.5</v>
      </c>
      <c r="L359">
        <v>121.2</v>
      </c>
      <c r="M359">
        <v>207.5</v>
      </c>
      <c r="N359">
        <v>176.8</v>
      </c>
      <c r="O359">
        <v>187.7</v>
      </c>
      <c r="P359">
        <v>174.4</v>
      </c>
      <c r="Q359">
        <v>195.9</v>
      </c>
      <c r="R359">
        <v>188.1</v>
      </c>
      <c r="S359">
        <v>185.9</v>
      </c>
      <c r="T359">
        <v>187.8</v>
      </c>
      <c r="U359" t="s">
        <v>67</v>
      </c>
      <c r="V359">
        <v>182.8</v>
      </c>
      <c r="W359">
        <v>176.4</v>
      </c>
      <c r="X359">
        <v>183.5</v>
      </c>
      <c r="Y359">
        <v>167.8</v>
      </c>
      <c r="Z359">
        <v>171.2</v>
      </c>
      <c r="AA359">
        <v>177.3</v>
      </c>
      <c r="AB359">
        <v>175.7</v>
      </c>
      <c r="AC359">
        <v>175.5</v>
      </c>
      <c r="AD359">
        <v>177.1</v>
      </c>
    </row>
    <row r="360" spans="1:30" x14ac:dyDescent="0.3">
      <c r="A360" t="s">
        <v>44</v>
      </c>
      <c r="B360">
        <v>2022</v>
      </c>
      <c r="C360" t="s">
        <v>66</v>
      </c>
      <c r="D360">
        <v>170.2</v>
      </c>
      <c r="E360">
        <v>212.9</v>
      </c>
      <c r="F360">
        <v>191.9</v>
      </c>
      <c r="G360">
        <v>173.9</v>
      </c>
      <c r="H360">
        <v>179.1</v>
      </c>
      <c r="I360">
        <v>159.5</v>
      </c>
      <c r="J360">
        <v>178.7</v>
      </c>
      <c r="K360">
        <v>171.3</v>
      </c>
      <c r="L360">
        <v>123.1</v>
      </c>
      <c r="M360">
        <v>200.5</v>
      </c>
      <c r="N360">
        <v>162.80000000000001</v>
      </c>
      <c r="O360">
        <v>193.3</v>
      </c>
      <c r="P360">
        <v>178.6</v>
      </c>
      <c r="Q360">
        <v>201.1</v>
      </c>
      <c r="R360">
        <v>177.7</v>
      </c>
      <c r="S360">
        <v>164.5</v>
      </c>
      <c r="T360">
        <v>175.7</v>
      </c>
      <c r="U360">
        <v>170.7</v>
      </c>
      <c r="V360">
        <v>180.6</v>
      </c>
      <c r="W360">
        <v>167.3</v>
      </c>
      <c r="X360">
        <v>177.2</v>
      </c>
      <c r="Y360">
        <v>159.4</v>
      </c>
      <c r="Z360">
        <v>167.1</v>
      </c>
      <c r="AA360">
        <v>171.8</v>
      </c>
      <c r="AB360">
        <v>176</v>
      </c>
      <c r="AC360">
        <v>168.2</v>
      </c>
      <c r="AD360">
        <v>174.1</v>
      </c>
    </row>
    <row r="361" spans="1:30" x14ac:dyDescent="0.3">
      <c r="A361" t="s">
        <v>45</v>
      </c>
      <c r="B361">
        <v>2022</v>
      </c>
      <c r="C361" t="s">
        <v>66</v>
      </c>
      <c r="D361">
        <v>169.2</v>
      </c>
      <c r="E361">
        <v>209</v>
      </c>
      <c r="F361">
        <v>190.2</v>
      </c>
      <c r="G361">
        <v>173.6</v>
      </c>
      <c r="H361">
        <v>188.5</v>
      </c>
      <c r="I361">
        <v>158</v>
      </c>
      <c r="J361">
        <v>159.9</v>
      </c>
      <c r="K361">
        <v>170.8</v>
      </c>
      <c r="L361">
        <v>121.8</v>
      </c>
      <c r="M361">
        <v>205.2</v>
      </c>
      <c r="N361">
        <v>171</v>
      </c>
      <c r="O361">
        <v>190.3</v>
      </c>
      <c r="P361">
        <v>175.9</v>
      </c>
      <c r="Q361">
        <v>197.3</v>
      </c>
      <c r="R361">
        <v>184</v>
      </c>
      <c r="S361">
        <v>177</v>
      </c>
      <c r="T361">
        <v>183</v>
      </c>
      <c r="U361">
        <v>170.7</v>
      </c>
      <c r="V361">
        <v>182</v>
      </c>
      <c r="W361">
        <v>172.1</v>
      </c>
      <c r="X361">
        <v>181.1</v>
      </c>
      <c r="Y361">
        <v>163.4</v>
      </c>
      <c r="Z361">
        <v>168.9</v>
      </c>
      <c r="AA361">
        <v>174.1</v>
      </c>
      <c r="AB361">
        <v>175.8</v>
      </c>
      <c r="AC361">
        <v>172</v>
      </c>
      <c r="AD361">
        <v>175.7</v>
      </c>
    </row>
    <row r="362" spans="1:30" x14ac:dyDescent="0.3">
      <c r="A362" t="s">
        <v>41</v>
      </c>
      <c r="B362">
        <v>2023</v>
      </c>
      <c r="C362" t="s">
        <v>56</v>
      </c>
      <c r="D362">
        <v>174</v>
      </c>
      <c r="E362">
        <v>208.3</v>
      </c>
      <c r="F362">
        <v>192.9</v>
      </c>
      <c r="G362">
        <v>174.3</v>
      </c>
      <c r="H362">
        <v>192.6</v>
      </c>
      <c r="I362">
        <v>156.30000000000001</v>
      </c>
      <c r="J362">
        <v>142.9</v>
      </c>
      <c r="K362">
        <v>170.7</v>
      </c>
      <c r="L362">
        <v>120.3</v>
      </c>
      <c r="M362">
        <v>210.5</v>
      </c>
      <c r="N362">
        <v>176.9</v>
      </c>
      <c r="O362">
        <v>188.5</v>
      </c>
      <c r="P362">
        <v>175</v>
      </c>
      <c r="Q362">
        <v>196.9</v>
      </c>
      <c r="R362">
        <v>189</v>
      </c>
      <c r="S362">
        <v>186.3</v>
      </c>
      <c r="T362">
        <v>188.6</v>
      </c>
      <c r="U362" t="s">
        <v>67</v>
      </c>
      <c r="V362">
        <v>183.2</v>
      </c>
      <c r="W362">
        <v>177.2</v>
      </c>
      <c r="X362">
        <v>184.7</v>
      </c>
      <c r="Y362">
        <v>168.2</v>
      </c>
      <c r="Z362">
        <v>171.8</v>
      </c>
      <c r="AA362">
        <v>177.8</v>
      </c>
      <c r="AB362">
        <v>178.4</v>
      </c>
      <c r="AC362">
        <v>176.5</v>
      </c>
      <c r="AD362">
        <v>177.8</v>
      </c>
    </row>
    <row r="363" spans="1:30" x14ac:dyDescent="0.3">
      <c r="A363" t="s">
        <v>44</v>
      </c>
      <c r="B363">
        <v>2023</v>
      </c>
      <c r="C363" t="s">
        <v>56</v>
      </c>
      <c r="D363">
        <v>173.3</v>
      </c>
      <c r="E363">
        <v>215.2</v>
      </c>
      <c r="F363">
        <v>197</v>
      </c>
      <c r="G363">
        <v>175.2</v>
      </c>
      <c r="H363">
        <v>178</v>
      </c>
      <c r="I363">
        <v>160.5</v>
      </c>
      <c r="J363">
        <v>175.3</v>
      </c>
      <c r="K363">
        <v>171.2</v>
      </c>
      <c r="L363">
        <v>122.7</v>
      </c>
      <c r="M363">
        <v>204.3</v>
      </c>
      <c r="N363">
        <v>163.69999999999999</v>
      </c>
      <c r="O363">
        <v>194.3</v>
      </c>
      <c r="P363">
        <v>179.5</v>
      </c>
      <c r="Q363">
        <v>201.6</v>
      </c>
      <c r="R363">
        <v>178.7</v>
      </c>
      <c r="S363">
        <v>165.3</v>
      </c>
      <c r="T363">
        <v>176.6</v>
      </c>
      <c r="U363">
        <v>172.1</v>
      </c>
      <c r="V363">
        <v>180.1</v>
      </c>
      <c r="W363">
        <v>168</v>
      </c>
      <c r="X363">
        <v>178.5</v>
      </c>
      <c r="Y363">
        <v>159.5</v>
      </c>
      <c r="Z363">
        <v>167.8</v>
      </c>
      <c r="AA363">
        <v>171.8</v>
      </c>
      <c r="AB363">
        <v>178.8</v>
      </c>
      <c r="AC363">
        <v>168.9</v>
      </c>
      <c r="AD363">
        <v>174.9</v>
      </c>
    </row>
    <row r="364" spans="1:30" x14ac:dyDescent="0.3">
      <c r="A364" t="s">
        <v>45</v>
      </c>
      <c r="B364">
        <v>2023</v>
      </c>
      <c r="C364" t="s">
        <v>56</v>
      </c>
      <c r="D364">
        <v>173.8</v>
      </c>
      <c r="E364">
        <v>210.7</v>
      </c>
      <c r="F364">
        <v>194.5</v>
      </c>
      <c r="G364">
        <v>174.6</v>
      </c>
      <c r="H364">
        <v>187.2</v>
      </c>
      <c r="I364">
        <v>158.30000000000001</v>
      </c>
      <c r="J364">
        <v>153.9</v>
      </c>
      <c r="K364">
        <v>170.9</v>
      </c>
      <c r="L364">
        <v>121.1</v>
      </c>
      <c r="M364">
        <v>208.4</v>
      </c>
      <c r="N364">
        <v>171.4</v>
      </c>
      <c r="O364">
        <v>191.2</v>
      </c>
      <c r="P364">
        <v>176.7</v>
      </c>
      <c r="Q364">
        <v>198.2</v>
      </c>
      <c r="R364">
        <v>184.9</v>
      </c>
      <c r="S364">
        <v>177.6</v>
      </c>
      <c r="T364">
        <v>183.8</v>
      </c>
      <c r="U364">
        <v>172.1</v>
      </c>
      <c r="V364">
        <v>182</v>
      </c>
      <c r="W364">
        <v>172.9</v>
      </c>
      <c r="X364">
        <v>182.3</v>
      </c>
      <c r="Y364">
        <v>163.6</v>
      </c>
      <c r="Z364">
        <v>169.5</v>
      </c>
      <c r="AA364">
        <v>174.3</v>
      </c>
      <c r="AB364">
        <v>178.6</v>
      </c>
      <c r="AC364">
        <v>172.8</v>
      </c>
      <c r="AD364">
        <v>176.5</v>
      </c>
    </row>
    <row r="365" spans="1:30" x14ac:dyDescent="0.3">
      <c r="A365" t="s">
        <v>41</v>
      </c>
      <c r="B365">
        <v>2023</v>
      </c>
      <c r="C365" t="s">
        <v>57</v>
      </c>
      <c r="D365">
        <v>174.2</v>
      </c>
      <c r="E365">
        <v>205.2</v>
      </c>
      <c r="F365">
        <v>173.9</v>
      </c>
      <c r="G365">
        <v>177</v>
      </c>
      <c r="H365">
        <v>183.4</v>
      </c>
      <c r="I365">
        <v>167.2</v>
      </c>
      <c r="J365">
        <v>140.9</v>
      </c>
      <c r="K365">
        <v>170.4</v>
      </c>
      <c r="L365">
        <v>119.1</v>
      </c>
      <c r="M365">
        <v>212.1</v>
      </c>
      <c r="N365">
        <v>177.6</v>
      </c>
      <c r="O365">
        <v>189.9</v>
      </c>
      <c r="P365">
        <v>174.8</v>
      </c>
      <c r="Q365">
        <v>198.3</v>
      </c>
      <c r="R365">
        <v>190</v>
      </c>
      <c r="S365">
        <v>187</v>
      </c>
      <c r="T365">
        <v>189.6</v>
      </c>
      <c r="U365" t="s">
        <v>67</v>
      </c>
      <c r="V365">
        <v>181.6</v>
      </c>
      <c r="W365">
        <v>178.6</v>
      </c>
      <c r="X365">
        <v>186.6</v>
      </c>
      <c r="Y365">
        <v>169</v>
      </c>
      <c r="Z365">
        <v>172.8</v>
      </c>
      <c r="AA365">
        <v>178.5</v>
      </c>
      <c r="AB365">
        <v>180.7</v>
      </c>
      <c r="AC365">
        <v>177.9</v>
      </c>
      <c r="AD365">
        <v>178</v>
      </c>
    </row>
    <row r="366" spans="1:30" x14ac:dyDescent="0.3">
      <c r="A366" t="s">
        <v>44</v>
      </c>
      <c r="B366">
        <v>2023</v>
      </c>
      <c r="C366" t="s">
        <v>57</v>
      </c>
      <c r="D366">
        <v>174.7</v>
      </c>
      <c r="E366">
        <v>212.2</v>
      </c>
      <c r="F366">
        <v>177.2</v>
      </c>
      <c r="G366">
        <v>177.9</v>
      </c>
      <c r="H366">
        <v>172.2</v>
      </c>
      <c r="I366">
        <v>172.1</v>
      </c>
      <c r="J366">
        <v>175.8</v>
      </c>
      <c r="K366">
        <v>172.2</v>
      </c>
      <c r="L366">
        <v>121.9</v>
      </c>
      <c r="M366">
        <v>204.8</v>
      </c>
      <c r="N366">
        <v>164.9</v>
      </c>
      <c r="O366">
        <v>196.6</v>
      </c>
      <c r="P366">
        <v>180.7</v>
      </c>
      <c r="Q366">
        <v>202.7</v>
      </c>
      <c r="R366">
        <v>180.3</v>
      </c>
      <c r="S366">
        <v>167</v>
      </c>
      <c r="T366">
        <v>178.2</v>
      </c>
      <c r="U366">
        <v>173.5</v>
      </c>
      <c r="V366">
        <v>182.8</v>
      </c>
      <c r="W366">
        <v>169.2</v>
      </c>
      <c r="X366">
        <v>180.8</v>
      </c>
      <c r="Y366">
        <v>159.80000000000001</v>
      </c>
      <c r="Z366">
        <v>168.4</v>
      </c>
      <c r="AA366">
        <v>172.5</v>
      </c>
      <c r="AB366">
        <v>181.4</v>
      </c>
      <c r="AC366">
        <v>170</v>
      </c>
      <c r="AD366">
        <v>176.3</v>
      </c>
    </row>
    <row r="367" spans="1:30" x14ac:dyDescent="0.3">
      <c r="A367" t="s">
        <v>45</v>
      </c>
      <c r="B367">
        <v>2023</v>
      </c>
      <c r="C367" t="s">
        <v>57</v>
      </c>
      <c r="D367">
        <v>174.4</v>
      </c>
      <c r="E367">
        <v>207.7</v>
      </c>
      <c r="F367">
        <v>175.2</v>
      </c>
      <c r="G367">
        <v>177.3</v>
      </c>
      <c r="H367">
        <v>179.3</v>
      </c>
      <c r="I367">
        <v>169.5</v>
      </c>
      <c r="J367">
        <v>152.69999999999999</v>
      </c>
      <c r="K367">
        <v>171</v>
      </c>
      <c r="L367">
        <v>120</v>
      </c>
      <c r="M367">
        <v>209.7</v>
      </c>
      <c r="N367">
        <v>172.3</v>
      </c>
      <c r="O367">
        <v>193</v>
      </c>
      <c r="P367">
        <v>177</v>
      </c>
      <c r="Q367">
        <v>199.5</v>
      </c>
      <c r="R367">
        <v>186.2</v>
      </c>
      <c r="S367">
        <v>178.7</v>
      </c>
      <c r="T367">
        <v>185.1</v>
      </c>
      <c r="U367">
        <v>173.5</v>
      </c>
      <c r="V367">
        <v>182.1</v>
      </c>
      <c r="W367">
        <v>174.2</v>
      </c>
      <c r="X367">
        <v>184.4</v>
      </c>
      <c r="Y367">
        <v>164.2</v>
      </c>
      <c r="Z367">
        <v>170.3</v>
      </c>
      <c r="AA367">
        <v>175</v>
      </c>
      <c r="AB367">
        <v>181</v>
      </c>
      <c r="AC367">
        <v>174.1</v>
      </c>
      <c r="AD367">
        <v>177.2</v>
      </c>
    </row>
    <row r="368" spans="1:30" x14ac:dyDescent="0.3">
      <c r="A368" t="s">
        <v>41</v>
      </c>
      <c r="B368">
        <v>2023</v>
      </c>
      <c r="C368" t="s">
        <v>58</v>
      </c>
      <c r="D368">
        <v>174.3</v>
      </c>
      <c r="E368">
        <v>205.2</v>
      </c>
      <c r="F368">
        <v>173.9</v>
      </c>
      <c r="G368">
        <v>177</v>
      </c>
      <c r="H368">
        <v>183.3</v>
      </c>
      <c r="I368">
        <v>167.2</v>
      </c>
      <c r="J368">
        <v>140.9</v>
      </c>
      <c r="K368">
        <v>170.5</v>
      </c>
      <c r="L368">
        <v>119.1</v>
      </c>
      <c r="M368">
        <v>212.1</v>
      </c>
      <c r="N368">
        <v>177.6</v>
      </c>
      <c r="O368">
        <v>189.9</v>
      </c>
      <c r="P368">
        <v>174.8</v>
      </c>
      <c r="Q368">
        <v>198.4</v>
      </c>
      <c r="R368">
        <v>190</v>
      </c>
      <c r="S368">
        <v>187</v>
      </c>
      <c r="T368">
        <v>189.6</v>
      </c>
      <c r="U368" t="s">
        <v>67</v>
      </c>
      <c r="V368">
        <v>181.4</v>
      </c>
      <c r="W368">
        <v>178.6</v>
      </c>
      <c r="X368">
        <v>186.6</v>
      </c>
      <c r="Y368">
        <v>169</v>
      </c>
      <c r="Z368">
        <v>172.8</v>
      </c>
      <c r="AA368">
        <v>178.5</v>
      </c>
      <c r="AB368">
        <v>180.7</v>
      </c>
      <c r="AC368">
        <v>177.9</v>
      </c>
      <c r="AD368">
        <v>178</v>
      </c>
    </row>
    <row r="369" spans="1:30" x14ac:dyDescent="0.3">
      <c r="A369" t="s">
        <v>44</v>
      </c>
      <c r="B369">
        <v>2023</v>
      </c>
      <c r="C369" t="s">
        <v>58</v>
      </c>
      <c r="D369">
        <v>174.7</v>
      </c>
      <c r="E369">
        <v>212.2</v>
      </c>
      <c r="F369">
        <v>177.2</v>
      </c>
      <c r="G369">
        <v>177.9</v>
      </c>
      <c r="H369">
        <v>172.2</v>
      </c>
      <c r="I369">
        <v>172.1</v>
      </c>
      <c r="J369">
        <v>175.9</v>
      </c>
      <c r="K369">
        <v>172.2</v>
      </c>
      <c r="L369">
        <v>121.9</v>
      </c>
      <c r="M369">
        <v>204.8</v>
      </c>
      <c r="N369">
        <v>164.9</v>
      </c>
      <c r="O369">
        <v>196.6</v>
      </c>
      <c r="P369">
        <v>180.8</v>
      </c>
      <c r="Q369">
        <v>202.7</v>
      </c>
      <c r="R369">
        <v>180.2</v>
      </c>
      <c r="S369">
        <v>167</v>
      </c>
      <c r="T369">
        <v>178.2</v>
      </c>
      <c r="U369">
        <v>173.5</v>
      </c>
      <c r="V369">
        <v>182.6</v>
      </c>
      <c r="W369">
        <v>169.2</v>
      </c>
      <c r="X369">
        <v>180.8</v>
      </c>
      <c r="Y369">
        <v>159.80000000000001</v>
      </c>
      <c r="Z369">
        <v>168.4</v>
      </c>
      <c r="AA369">
        <v>172.5</v>
      </c>
      <c r="AB369">
        <v>181.5</v>
      </c>
      <c r="AC369">
        <v>170</v>
      </c>
      <c r="AD369">
        <v>176.3</v>
      </c>
    </row>
    <row r="370" spans="1:30" x14ac:dyDescent="0.3">
      <c r="A370" t="s">
        <v>45</v>
      </c>
      <c r="B370">
        <v>2023</v>
      </c>
      <c r="C370" t="s">
        <v>58</v>
      </c>
      <c r="D370">
        <v>174.4</v>
      </c>
      <c r="E370">
        <v>207.7</v>
      </c>
      <c r="F370">
        <v>175.2</v>
      </c>
      <c r="G370">
        <v>177.3</v>
      </c>
      <c r="H370">
        <v>179.2</v>
      </c>
      <c r="I370">
        <v>169.5</v>
      </c>
      <c r="J370">
        <v>152.80000000000001</v>
      </c>
      <c r="K370">
        <v>171.1</v>
      </c>
      <c r="L370">
        <v>120</v>
      </c>
      <c r="M370">
        <v>209.7</v>
      </c>
      <c r="N370">
        <v>172.3</v>
      </c>
      <c r="O370">
        <v>193</v>
      </c>
      <c r="P370">
        <v>177</v>
      </c>
      <c r="Q370">
        <v>199.5</v>
      </c>
      <c r="R370">
        <v>186.1</v>
      </c>
      <c r="S370">
        <v>178.7</v>
      </c>
      <c r="T370">
        <v>185.1</v>
      </c>
      <c r="U370">
        <v>173.5</v>
      </c>
      <c r="V370">
        <v>181.9</v>
      </c>
      <c r="W370">
        <v>174.2</v>
      </c>
      <c r="X370">
        <v>184.4</v>
      </c>
      <c r="Y370">
        <v>164.2</v>
      </c>
      <c r="Z370">
        <v>170.3</v>
      </c>
      <c r="AA370">
        <v>175</v>
      </c>
      <c r="AB370">
        <v>181</v>
      </c>
      <c r="AC370">
        <v>174.1</v>
      </c>
      <c r="AD370">
        <v>177.2</v>
      </c>
    </row>
    <row r="371" spans="1:30" x14ac:dyDescent="0.3">
      <c r="A371" t="s">
        <v>41</v>
      </c>
      <c r="B371">
        <v>2023</v>
      </c>
      <c r="C371" t="s">
        <v>59</v>
      </c>
      <c r="D371">
        <v>173.3</v>
      </c>
      <c r="E371">
        <v>206.9</v>
      </c>
      <c r="F371">
        <v>167.9</v>
      </c>
      <c r="G371">
        <v>178.2</v>
      </c>
      <c r="H371">
        <v>178.5</v>
      </c>
      <c r="I371">
        <v>173.7</v>
      </c>
      <c r="J371">
        <v>142.80000000000001</v>
      </c>
      <c r="K371">
        <v>172.8</v>
      </c>
      <c r="L371">
        <v>120.4</v>
      </c>
      <c r="M371">
        <v>215.5</v>
      </c>
      <c r="N371">
        <v>178.2</v>
      </c>
      <c r="O371">
        <v>190.5</v>
      </c>
      <c r="P371">
        <v>175.5</v>
      </c>
      <c r="Q371">
        <v>199.5</v>
      </c>
      <c r="R371">
        <v>190.7</v>
      </c>
      <c r="S371">
        <v>187.3</v>
      </c>
      <c r="T371">
        <v>190.2</v>
      </c>
      <c r="U371" t="s">
        <v>43</v>
      </c>
      <c r="V371">
        <v>181.5</v>
      </c>
      <c r="W371">
        <v>179.1</v>
      </c>
      <c r="X371">
        <v>187.2</v>
      </c>
      <c r="Y371">
        <v>169.4</v>
      </c>
      <c r="Z371">
        <v>173.2</v>
      </c>
      <c r="AA371">
        <v>179.4</v>
      </c>
      <c r="AB371">
        <v>183.8</v>
      </c>
      <c r="AC371">
        <v>178.9</v>
      </c>
      <c r="AD371">
        <v>178.8</v>
      </c>
    </row>
    <row r="372" spans="1:30" x14ac:dyDescent="0.3">
      <c r="A372" t="s">
        <v>44</v>
      </c>
      <c r="B372">
        <v>2023</v>
      </c>
      <c r="C372" t="s">
        <v>59</v>
      </c>
      <c r="D372">
        <v>174.8</v>
      </c>
      <c r="E372">
        <v>213.7</v>
      </c>
      <c r="F372">
        <v>172.4</v>
      </c>
      <c r="G372">
        <v>178.8</v>
      </c>
      <c r="H372">
        <v>168.7</v>
      </c>
      <c r="I372">
        <v>179.2</v>
      </c>
      <c r="J372">
        <v>179.9</v>
      </c>
      <c r="K372">
        <v>174.7</v>
      </c>
      <c r="L372">
        <v>123.1</v>
      </c>
      <c r="M372">
        <v>207.8</v>
      </c>
      <c r="N372">
        <v>165.5</v>
      </c>
      <c r="O372">
        <v>197</v>
      </c>
      <c r="P372">
        <v>182.1</v>
      </c>
      <c r="Q372">
        <v>203.5</v>
      </c>
      <c r="R372">
        <v>181</v>
      </c>
      <c r="S372">
        <v>167.7</v>
      </c>
      <c r="T372">
        <v>178.9</v>
      </c>
      <c r="U372">
        <v>175.2</v>
      </c>
      <c r="V372">
        <v>182.1</v>
      </c>
      <c r="W372">
        <v>169.6</v>
      </c>
      <c r="X372">
        <v>181.5</v>
      </c>
      <c r="Y372">
        <v>160.1</v>
      </c>
      <c r="Z372">
        <v>168.8</v>
      </c>
      <c r="AA372">
        <v>174.2</v>
      </c>
      <c r="AB372">
        <v>184.4</v>
      </c>
      <c r="AC372">
        <v>170.9</v>
      </c>
      <c r="AD372">
        <v>177.4</v>
      </c>
    </row>
    <row r="373" spans="1:30" x14ac:dyDescent="0.3">
      <c r="A373" t="s">
        <v>45</v>
      </c>
      <c r="B373">
        <v>2023</v>
      </c>
      <c r="C373" t="s">
        <v>59</v>
      </c>
      <c r="D373">
        <v>173.8</v>
      </c>
      <c r="E373">
        <v>209.3</v>
      </c>
      <c r="F373">
        <v>169.6</v>
      </c>
      <c r="G373">
        <v>178.4</v>
      </c>
      <c r="H373">
        <v>174.9</v>
      </c>
      <c r="I373">
        <v>176.3</v>
      </c>
      <c r="J373">
        <v>155.4</v>
      </c>
      <c r="K373">
        <v>173.4</v>
      </c>
      <c r="L373">
        <v>121.3</v>
      </c>
      <c r="M373">
        <v>212.9</v>
      </c>
      <c r="N373">
        <v>172.9</v>
      </c>
      <c r="O373">
        <v>193.5</v>
      </c>
      <c r="P373">
        <v>177.9</v>
      </c>
      <c r="Q373">
        <v>200.6</v>
      </c>
      <c r="R373">
        <v>186.9</v>
      </c>
      <c r="S373">
        <v>179.2</v>
      </c>
      <c r="T373">
        <v>185.7</v>
      </c>
      <c r="U373">
        <v>175.2</v>
      </c>
      <c r="V373">
        <v>181.7</v>
      </c>
      <c r="W373">
        <v>174.6</v>
      </c>
      <c r="X373">
        <v>185</v>
      </c>
      <c r="Y373">
        <v>164.5</v>
      </c>
      <c r="Z373">
        <v>170.7</v>
      </c>
      <c r="AA373">
        <v>176.4</v>
      </c>
      <c r="AB373">
        <v>184</v>
      </c>
      <c r="AC373">
        <v>175</v>
      </c>
      <c r="AD373">
        <v>178.1</v>
      </c>
    </row>
    <row r="374" spans="1:30" x14ac:dyDescent="0.3">
      <c r="A374" t="s">
        <v>41</v>
      </c>
      <c r="B374">
        <v>2023</v>
      </c>
      <c r="C374" t="s">
        <v>42</v>
      </c>
      <c r="D374">
        <v>173.2</v>
      </c>
      <c r="E374">
        <v>211.5</v>
      </c>
      <c r="F374">
        <v>171</v>
      </c>
      <c r="G374">
        <v>179.6</v>
      </c>
      <c r="H374">
        <v>173.3</v>
      </c>
      <c r="I374">
        <v>169</v>
      </c>
      <c r="J374">
        <v>148.69999999999999</v>
      </c>
      <c r="K374">
        <v>174.9</v>
      </c>
      <c r="L374">
        <v>121.9</v>
      </c>
      <c r="M374">
        <v>221</v>
      </c>
      <c r="N374">
        <v>178.7</v>
      </c>
      <c r="O374">
        <v>191.1</v>
      </c>
      <c r="P374">
        <v>176.8</v>
      </c>
      <c r="Q374">
        <v>199.9</v>
      </c>
      <c r="R374">
        <v>191.2</v>
      </c>
      <c r="S374">
        <v>187.9</v>
      </c>
      <c r="T374">
        <v>190.8</v>
      </c>
      <c r="U374" t="s">
        <v>43</v>
      </c>
      <c r="V374">
        <v>182.5</v>
      </c>
      <c r="W374">
        <v>179.8</v>
      </c>
      <c r="X374">
        <v>187.8</v>
      </c>
      <c r="Y374">
        <v>169.7</v>
      </c>
      <c r="Z374">
        <v>173.8</v>
      </c>
      <c r="AA374">
        <v>180.3</v>
      </c>
      <c r="AB374">
        <v>184.9</v>
      </c>
      <c r="AC374">
        <v>179.5</v>
      </c>
      <c r="AD374">
        <v>179.8</v>
      </c>
    </row>
    <row r="375" spans="1:30" x14ac:dyDescent="0.3">
      <c r="A375" t="s">
        <v>44</v>
      </c>
      <c r="B375">
        <v>2023</v>
      </c>
      <c r="C375" t="s">
        <v>42</v>
      </c>
      <c r="D375">
        <v>174.7</v>
      </c>
      <c r="E375">
        <v>219.4</v>
      </c>
      <c r="F375">
        <v>176.7</v>
      </c>
      <c r="G375">
        <v>179.4</v>
      </c>
      <c r="H375">
        <v>164.4</v>
      </c>
      <c r="I375">
        <v>175.8</v>
      </c>
      <c r="J375">
        <v>185</v>
      </c>
      <c r="K375">
        <v>176.9</v>
      </c>
      <c r="L375">
        <v>124.2</v>
      </c>
      <c r="M375">
        <v>211.9</v>
      </c>
      <c r="N375">
        <v>165.9</v>
      </c>
      <c r="O375">
        <v>197.7</v>
      </c>
      <c r="P375">
        <v>183.1</v>
      </c>
      <c r="Q375">
        <v>204.2</v>
      </c>
      <c r="R375">
        <v>181.3</v>
      </c>
      <c r="S375">
        <v>168.1</v>
      </c>
      <c r="T375">
        <v>179.3</v>
      </c>
      <c r="U375">
        <v>175.6</v>
      </c>
      <c r="V375">
        <v>183.4</v>
      </c>
      <c r="W375">
        <v>170.1</v>
      </c>
      <c r="X375">
        <v>182.2</v>
      </c>
      <c r="Y375">
        <v>160.4</v>
      </c>
      <c r="Z375">
        <v>169.2</v>
      </c>
      <c r="AA375">
        <v>174.8</v>
      </c>
      <c r="AB375">
        <v>185.6</v>
      </c>
      <c r="AC375">
        <v>171.6</v>
      </c>
      <c r="AD375">
        <v>178.2</v>
      </c>
    </row>
    <row r="376" spans="1:30" x14ac:dyDescent="0.3">
      <c r="A376" t="s">
        <v>45</v>
      </c>
      <c r="B376">
        <v>2023</v>
      </c>
      <c r="C376" t="s">
        <v>42</v>
      </c>
      <c r="D376">
        <v>173.7</v>
      </c>
      <c r="E376">
        <v>214.3</v>
      </c>
      <c r="F376">
        <v>173.2</v>
      </c>
      <c r="G376">
        <v>179.5</v>
      </c>
      <c r="H376">
        <v>170</v>
      </c>
      <c r="I376">
        <v>172.2</v>
      </c>
      <c r="J376">
        <v>161</v>
      </c>
      <c r="K376">
        <v>175.6</v>
      </c>
      <c r="L376">
        <v>122.7</v>
      </c>
      <c r="M376">
        <v>218</v>
      </c>
      <c r="N376">
        <v>173.4</v>
      </c>
      <c r="O376">
        <v>194.2</v>
      </c>
      <c r="P376">
        <v>179.1</v>
      </c>
      <c r="Q376">
        <v>201</v>
      </c>
      <c r="R376">
        <v>187.3</v>
      </c>
      <c r="S376">
        <v>179.7</v>
      </c>
      <c r="T376">
        <v>186.2</v>
      </c>
      <c r="U376">
        <v>175.6</v>
      </c>
      <c r="V376">
        <v>182.8</v>
      </c>
      <c r="W376">
        <v>175.2</v>
      </c>
      <c r="X376">
        <v>185.7</v>
      </c>
      <c r="Y376">
        <v>164.8</v>
      </c>
      <c r="Z376">
        <v>171.2</v>
      </c>
      <c r="AA376">
        <v>177.1</v>
      </c>
      <c r="AB376">
        <v>185.2</v>
      </c>
      <c r="AC376">
        <v>175.7</v>
      </c>
      <c r="AD376">
        <v>179.1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46800-9759-465D-8A56-C5DE8A0FD2FE}">
  <dimension ref="A1:C42"/>
  <sheetViews>
    <sheetView topLeftCell="A6" workbookViewId="0">
      <selection activeCell="B2" sqref="B2:C2"/>
    </sheetView>
  </sheetViews>
  <sheetFormatPr defaultRowHeight="14.4" x14ac:dyDescent="0.3"/>
  <cols>
    <col min="2" max="2" width="29.6640625" customWidth="1"/>
    <col min="3" max="3" width="21" customWidth="1"/>
  </cols>
  <sheetData>
    <row r="1" spans="1:3" x14ac:dyDescent="0.3">
      <c r="C1" s="1"/>
    </row>
    <row r="2" spans="1:3" ht="18" x14ac:dyDescent="0.35">
      <c r="A2" s="2" t="s">
        <v>34</v>
      </c>
      <c r="B2" t="s">
        <v>0</v>
      </c>
    </row>
    <row r="5" spans="1:3" x14ac:dyDescent="0.3">
      <c r="B5" s="3" t="s">
        <v>1</v>
      </c>
      <c r="C5" s="4"/>
    </row>
    <row r="6" spans="1:3" x14ac:dyDescent="0.3">
      <c r="B6" s="3" t="s">
        <v>2</v>
      </c>
      <c r="C6" s="4"/>
    </row>
    <row r="7" spans="1:3" x14ac:dyDescent="0.3">
      <c r="B7" s="3" t="s">
        <v>3</v>
      </c>
      <c r="C7" s="4"/>
    </row>
    <row r="8" spans="1:3" x14ac:dyDescent="0.3">
      <c r="B8" s="3" t="s">
        <v>4</v>
      </c>
      <c r="C8" s="5" t="s">
        <v>5</v>
      </c>
    </row>
    <row r="9" spans="1:3" x14ac:dyDescent="0.3">
      <c r="B9" s="3" t="s">
        <v>6</v>
      </c>
      <c r="C9" s="4"/>
    </row>
    <row r="10" spans="1:3" x14ac:dyDescent="0.3">
      <c r="B10" s="3" t="s">
        <v>7</v>
      </c>
      <c r="C10" s="4"/>
    </row>
    <row r="11" spans="1:3" x14ac:dyDescent="0.3">
      <c r="B11" s="3" t="s">
        <v>8</v>
      </c>
      <c r="C11" s="4"/>
    </row>
    <row r="12" spans="1:3" x14ac:dyDescent="0.3">
      <c r="B12" s="4"/>
      <c r="C12" s="4"/>
    </row>
    <row r="13" spans="1:3" x14ac:dyDescent="0.3">
      <c r="B13" s="4"/>
      <c r="C13" s="4"/>
    </row>
    <row r="14" spans="1:3" x14ac:dyDescent="0.3">
      <c r="B14" s="3" t="s">
        <v>9</v>
      </c>
      <c r="C14" s="4"/>
    </row>
    <row r="15" spans="1:3" x14ac:dyDescent="0.3">
      <c r="B15" s="3" t="s">
        <v>10</v>
      </c>
      <c r="C15" s="4"/>
    </row>
    <row r="16" spans="1:3" x14ac:dyDescent="0.3">
      <c r="B16" s="3" t="s">
        <v>11</v>
      </c>
      <c r="C16" s="5" t="s">
        <v>12</v>
      </c>
    </row>
    <row r="17" spans="2:3" x14ac:dyDescent="0.3">
      <c r="B17" s="3" t="s">
        <v>13</v>
      </c>
      <c r="C17" s="4"/>
    </row>
    <row r="18" spans="2:3" x14ac:dyDescent="0.3">
      <c r="B18" s="3" t="s">
        <v>14</v>
      </c>
      <c r="C18" s="4"/>
    </row>
    <row r="19" spans="2:3" x14ac:dyDescent="0.3">
      <c r="B19" s="4"/>
      <c r="C19" s="4"/>
    </row>
    <row r="20" spans="2:3" x14ac:dyDescent="0.3">
      <c r="B20" s="4"/>
      <c r="C20" s="4"/>
    </row>
    <row r="21" spans="2:3" x14ac:dyDescent="0.3">
      <c r="B21" s="3" t="s">
        <v>15</v>
      </c>
      <c r="C21" s="4"/>
    </row>
    <row r="22" spans="2:3" x14ac:dyDescent="0.3">
      <c r="B22" s="3" t="s">
        <v>16</v>
      </c>
      <c r="C22" s="5" t="s">
        <v>17</v>
      </c>
    </row>
    <row r="23" spans="2:3" x14ac:dyDescent="0.3">
      <c r="B23" s="3" t="s">
        <v>18</v>
      </c>
      <c r="C23" s="4"/>
    </row>
    <row r="24" spans="2:3" x14ac:dyDescent="0.3">
      <c r="B24" s="3" t="s">
        <v>19</v>
      </c>
      <c r="C24" s="4"/>
    </row>
    <row r="25" spans="2:3" x14ac:dyDescent="0.3">
      <c r="B25" s="3" t="s">
        <v>20</v>
      </c>
      <c r="C25" s="4"/>
    </row>
    <row r="26" spans="2:3" x14ac:dyDescent="0.3">
      <c r="B26" s="3" t="s">
        <v>21</v>
      </c>
      <c r="C26" s="4"/>
    </row>
    <row r="27" spans="2:3" x14ac:dyDescent="0.3">
      <c r="B27" s="3" t="s">
        <v>22</v>
      </c>
      <c r="C27" s="4"/>
    </row>
    <row r="28" spans="2:3" x14ac:dyDescent="0.3">
      <c r="B28" s="3" t="s">
        <v>23</v>
      </c>
      <c r="C28" s="5" t="s">
        <v>24</v>
      </c>
    </row>
    <row r="29" spans="2:3" x14ac:dyDescent="0.3">
      <c r="B29" s="3" t="s">
        <v>25</v>
      </c>
      <c r="C29" s="4"/>
    </row>
    <row r="30" spans="2:3" x14ac:dyDescent="0.3">
      <c r="B30" s="4"/>
      <c r="C30" s="4"/>
    </row>
    <row r="31" spans="2:3" x14ac:dyDescent="0.3">
      <c r="B31" s="4"/>
      <c r="C31" s="4"/>
    </row>
    <row r="32" spans="2:3" x14ac:dyDescent="0.3">
      <c r="B32" s="3" t="s">
        <v>26</v>
      </c>
      <c r="C32" s="5" t="s">
        <v>27</v>
      </c>
    </row>
    <row r="33" spans="2:3" x14ac:dyDescent="0.3">
      <c r="B33" s="3" t="s">
        <v>28</v>
      </c>
      <c r="C33" s="4"/>
    </row>
    <row r="34" spans="2:3" x14ac:dyDescent="0.3">
      <c r="B34" s="3" t="s">
        <v>29</v>
      </c>
      <c r="C34" s="4"/>
    </row>
    <row r="35" spans="2:3" x14ac:dyDescent="0.3">
      <c r="B35" s="3"/>
      <c r="C35" s="4"/>
    </row>
    <row r="36" spans="2:3" x14ac:dyDescent="0.3">
      <c r="B36" s="3"/>
      <c r="C36" s="4"/>
    </row>
    <row r="37" spans="2:3" x14ac:dyDescent="0.3">
      <c r="B37" s="3" t="s">
        <v>30</v>
      </c>
      <c r="C37" s="5" t="s">
        <v>31</v>
      </c>
    </row>
    <row r="38" spans="2:3" x14ac:dyDescent="0.3">
      <c r="B38" s="4"/>
      <c r="C38" s="5"/>
    </row>
    <row r="39" spans="2:3" x14ac:dyDescent="0.3">
      <c r="B39" s="4"/>
      <c r="C39" s="4"/>
    </row>
    <row r="40" spans="2:3" x14ac:dyDescent="0.3">
      <c r="B40" s="3" t="s">
        <v>32</v>
      </c>
      <c r="C40" s="5" t="s">
        <v>33</v>
      </c>
    </row>
    <row r="41" spans="2:3" x14ac:dyDescent="0.3">
      <c r="B41" s="4"/>
      <c r="C41" s="4"/>
    </row>
    <row r="42" spans="2:3" x14ac:dyDescent="0.3">
      <c r="B42" s="3"/>
      <c r="C42"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73964-C605-4AAB-A590-7EFD3DC61B02}">
  <dimension ref="A3:AD48"/>
  <sheetViews>
    <sheetView zoomScale="68" zoomScaleNormal="93" workbookViewId="0">
      <selection activeCell="K44" sqref="K44"/>
    </sheetView>
  </sheetViews>
  <sheetFormatPr defaultRowHeight="14.4" x14ac:dyDescent="0.3"/>
  <cols>
    <col min="3" max="3" width="13.33203125" customWidth="1"/>
    <col min="5" max="5" width="14.6640625" customWidth="1"/>
    <col min="18" max="18" width="12.77734375" customWidth="1"/>
    <col min="20" max="20" width="16.5546875" customWidth="1"/>
    <col min="30" max="30" width="13.21875" customWidth="1"/>
  </cols>
  <sheetData>
    <row r="3" spans="1:30" ht="21" x14ac:dyDescent="0.4">
      <c r="A3" s="9" t="s">
        <v>35</v>
      </c>
      <c r="B3" s="10" t="s">
        <v>36</v>
      </c>
      <c r="C3" s="10"/>
      <c r="D3" s="10"/>
      <c r="E3" s="10"/>
      <c r="F3" s="10"/>
      <c r="G3" s="10"/>
      <c r="H3" s="10"/>
      <c r="I3" s="10"/>
      <c r="J3" s="10"/>
      <c r="K3" s="10"/>
    </row>
    <row r="6" spans="1:30" x14ac:dyDescent="0.3">
      <c r="B6" s="1" t="s">
        <v>46</v>
      </c>
    </row>
    <row r="7" spans="1:30" x14ac:dyDescent="0.3">
      <c r="B7" s="6" t="s">
        <v>37</v>
      </c>
      <c r="C7" s="6" t="s">
        <v>38</v>
      </c>
      <c r="D7" s="6" t="s">
        <v>39</v>
      </c>
      <c r="E7" s="6" t="s">
        <v>1</v>
      </c>
      <c r="F7" s="6" t="s">
        <v>9</v>
      </c>
      <c r="G7" s="6" t="s">
        <v>10</v>
      </c>
      <c r="H7" s="6" t="s">
        <v>11</v>
      </c>
      <c r="I7" s="6" t="s">
        <v>2</v>
      </c>
      <c r="J7" s="6" t="s">
        <v>3</v>
      </c>
      <c r="K7" s="6" t="s">
        <v>4</v>
      </c>
      <c r="L7" s="6" t="s">
        <v>6</v>
      </c>
      <c r="M7" s="6" t="s">
        <v>7</v>
      </c>
      <c r="N7" s="6" t="s">
        <v>8</v>
      </c>
      <c r="O7" s="6" t="s">
        <v>13</v>
      </c>
      <c r="P7" s="6" t="s">
        <v>14</v>
      </c>
      <c r="Q7" s="6" t="s">
        <v>40</v>
      </c>
      <c r="R7" s="6" t="s">
        <v>30</v>
      </c>
      <c r="S7" s="6" t="s">
        <v>15</v>
      </c>
      <c r="T7" s="6" t="s">
        <v>16</v>
      </c>
      <c r="U7" s="6" t="s">
        <v>18</v>
      </c>
      <c r="V7" s="6" t="s">
        <v>22</v>
      </c>
      <c r="W7" s="6" t="s">
        <v>23</v>
      </c>
      <c r="X7" s="6" t="s">
        <v>25</v>
      </c>
      <c r="Y7" s="6" t="s">
        <v>32</v>
      </c>
      <c r="Z7" s="6" t="s">
        <v>26</v>
      </c>
      <c r="AA7" s="6" t="s">
        <v>28</v>
      </c>
      <c r="AB7" s="6" t="s">
        <v>29</v>
      </c>
      <c r="AC7" s="6" t="s">
        <v>19</v>
      </c>
      <c r="AD7" s="6" t="s">
        <v>20</v>
      </c>
    </row>
    <row r="8" spans="1:30" x14ac:dyDescent="0.3">
      <c r="B8" t="s">
        <v>41</v>
      </c>
      <c r="C8">
        <v>2023</v>
      </c>
      <c r="D8" t="s">
        <v>42</v>
      </c>
      <c r="E8">
        <v>173.2</v>
      </c>
      <c r="F8">
        <v>211.5</v>
      </c>
      <c r="G8">
        <v>171</v>
      </c>
      <c r="H8">
        <v>179.6</v>
      </c>
      <c r="I8">
        <v>173.3</v>
      </c>
      <c r="J8">
        <v>169</v>
      </c>
      <c r="K8">
        <v>148.69999999999999</v>
      </c>
      <c r="L8">
        <v>174.9</v>
      </c>
      <c r="M8">
        <v>121.9</v>
      </c>
      <c r="N8">
        <v>221</v>
      </c>
      <c r="O8">
        <v>178.7</v>
      </c>
      <c r="P8">
        <v>191.1</v>
      </c>
      <c r="Q8">
        <v>176.8</v>
      </c>
      <c r="R8">
        <v>199.9</v>
      </c>
      <c r="S8">
        <v>191.2</v>
      </c>
      <c r="T8">
        <v>187.9</v>
      </c>
      <c r="U8">
        <v>190.8</v>
      </c>
      <c r="V8" t="s">
        <v>43</v>
      </c>
      <c r="W8">
        <v>182.5</v>
      </c>
      <c r="X8">
        <v>179.8</v>
      </c>
      <c r="Y8">
        <v>187.8</v>
      </c>
      <c r="Z8">
        <v>169.7</v>
      </c>
      <c r="AA8">
        <v>173.8</v>
      </c>
      <c r="AB8">
        <v>180.3</v>
      </c>
      <c r="AC8">
        <v>184.9</v>
      </c>
      <c r="AD8">
        <v>179.5</v>
      </c>
    </row>
    <row r="9" spans="1:30" x14ac:dyDescent="0.3">
      <c r="B9" t="s">
        <v>44</v>
      </c>
      <c r="C9">
        <v>2023</v>
      </c>
      <c r="D9" t="s">
        <v>42</v>
      </c>
      <c r="E9">
        <v>174.7</v>
      </c>
      <c r="F9">
        <v>219.4</v>
      </c>
      <c r="G9">
        <v>176.7</v>
      </c>
      <c r="H9">
        <v>179.4</v>
      </c>
      <c r="I9">
        <v>164.4</v>
      </c>
      <c r="J9">
        <v>175.8</v>
      </c>
      <c r="K9">
        <v>185</v>
      </c>
      <c r="L9">
        <v>176.9</v>
      </c>
      <c r="M9">
        <v>124.2</v>
      </c>
      <c r="N9">
        <v>211.9</v>
      </c>
      <c r="O9">
        <v>165.9</v>
      </c>
      <c r="P9">
        <v>197.7</v>
      </c>
      <c r="Q9">
        <v>183.1</v>
      </c>
      <c r="R9">
        <v>204.2</v>
      </c>
      <c r="S9">
        <v>181.3</v>
      </c>
      <c r="T9">
        <v>168.1</v>
      </c>
      <c r="U9">
        <v>179.3</v>
      </c>
      <c r="V9">
        <v>175.6</v>
      </c>
      <c r="W9">
        <v>183.4</v>
      </c>
      <c r="X9">
        <v>170.1</v>
      </c>
      <c r="Y9">
        <v>182.2</v>
      </c>
      <c r="Z9">
        <v>160.4</v>
      </c>
      <c r="AA9">
        <v>169.2</v>
      </c>
      <c r="AB9">
        <v>174.8</v>
      </c>
      <c r="AC9">
        <v>185.6</v>
      </c>
      <c r="AD9">
        <v>171.6</v>
      </c>
    </row>
    <row r="10" spans="1:30" x14ac:dyDescent="0.3">
      <c r="B10" t="s">
        <v>45</v>
      </c>
      <c r="C10">
        <v>2023</v>
      </c>
      <c r="D10" t="s">
        <v>42</v>
      </c>
      <c r="E10">
        <v>173.7</v>
      </c>
      <c r="F10">
        <v>214.3</v>
      </c>
      <c r="G10">
        <v>173.2</v>
      </c>
      <c r="H10">
        <v>179.5</v>
      </c>
      <c r="I10">
        <v>170</v>
      </c>
      <c r="J10">
        <v>172.2</v>
      </c>
      <c r="K10">
        <v>161</v>
      </c>
      <c r="L10">
        <v>175.6</v>
      </c>
      <c r="M10">
        <v>122.7</v>
      </c>
      <c r="N10">
        <v>218</v>
      </c>
      <c r="O10">
        <v>173.4</v>
      </c>
      <c r="P10">
        <v>194.2</v>
      </c>
      <c r="Q10">
        <v>179.1</v>
      </c>
      <c r="R10">
        <v>201</v>
      </c>
      <c r="S10">
        <v>187.3</v>
      </c>
      <c r="T10">
        <v>179.7</v>
      </c>
      <c r="U10">
        <v>186.2</v>
      </c>
      <c r="V10">
        <v>175.6</v>
      </c>
      <c r="W10">
        <v>182.8</v>
      </c>
      <c r="X10">
        <v>175.2</v>
      </c>
      <c r="Y10">
        <v>185.7</v>
      </c>
      <c r="Z10">
        <v>164.8</v>
      </c>
      <c r="AA10">
        <v>171.2</v>
      </c>
      <c r="AB10">
        <v>177.1</v>
      </c>
      <c r="AC10">
        <v>185.2</v>
      </c>
      <c r="AD10">
        <v>175.7</v>
      </c>
    </row>
    <row r="13" spans="1:30" x14ac:dyDescent="0.3">
      <c r="B13" s="8"/>
    </row>
    <row r="14" spans="1:30" ht="18" x14ac:dyDescent="0.35">
      <c r="C14" s="31">
        <v>45047</v>
      </c>
    </row>
    <row r="17" spans="3:22" ht="23.4" x14ac:dyDescent="0.45">
      <c r="E17" s="32" t="s">
        <v>49</v>
      </c>
      <c r="F17" s="33"/>
      <c r="G17" s="4"/>
      <c r="T17" s="32" t="s">
        <v>50</v>
      </c>
      <c r="U17" s="33"/>
      <c r="V17" s="4"/>
    </row>
    <row r="23" spans="3:22" x14ac:dyDescent="0.3">
      <c r="C23" s="4" t="s">
        <v>51</v>
      </c>
      <c r="D23" s="4"/>
      <c r="E23" s="4" t="s">
        <v>47</v>
      </c>
      <c r="R23" s="4" t="s">
        <v>51</v>
      </c>
      <c r="S23" s="4"/>
      <c r="T23" s="4" t="s">
        <v>52</v>
      </c>
    </row>
    <row r="24" spans="3:22" x14ac:dyDescent="0.3">
      <c r="C24" s="4" t="s">
        <v>5</v>
      </c>
      <c r="D24" s="4">
        <v>1407.5</v>
      </c>
      <c r="E24" s="7">
        <v>0.35487368261812313</v>
      </c>
      <c r="R24" s="4" t="s">
        <v>5</v>
      </c>
      <c r="S24" s="4">
        <v>1407.5</v>
      </c>
      <c r="T24" s="7">
        <v>0.26192381413179</v>
      </c>
    </row>
    <row r="25" spans="3:22" x14ac:dyDescent="0.3">
      <c r="C25" s="4" t="s">
        <v>48</v>
      </c>
      <c r="D25" s="4">
        <v>899.4</v>
      </c>
      <c r="E25" s="7">
        <v>0.22676617417175129</v>
      </c>
      <c r="R25" s="4" t="s">
        <v>48</v>
      </c>
      <c r="S25" s="4">
        <v>899.4</v>
      </c>
      <c r="T25" s="7">
        <v>0.16737071291661237</v>
      </c>
    </row>
    <row r="26" spans="3:22" x14ac:dyDescent="0.3">
      <c r="C26" s="4" t="s">
        <v>17</v>
      </c>
      <c r="D26" s="4">
        <v>914.10000000000014</v>
      </c>
      <c r="E26" s="7">
        <v>0.23047249256215022</v>
      </c>
      <c r="R26" s="4" t="s">
        <v>17</v>
      </c>
      <c r="S26" s="4">
        <v>914.10000000000014</v>
      </c>
      <c r="T26" s="7">
        <v>0.1701062582578112</v>
      </c>
    </row>
    <row r="27" spans="3:22" x14ac:dyDescent="0.3">
      <c r="C27" s="4" t="s">
        <v>24</v>
      </c>
      <c r="D27" s="4">
        <v>719.3</v>
      </c>
      <c r="E27" s="7">
        <v>0.18135747062679641</v>
      </c>
      <c r="R27" s="4" t="s">
        <v>24</v>
      </c>
      <c r="S27" s="4">
        <v>719.3</v>
      </c>
      <c r="T27" s="7">
        <v>0.13385563019893182</v>
      </c>
    </row>
    <row r="28" spans="3:22" x14ac:dyDescent="0.3">
      <c r="C28" s="4" t="s">
        <v>27</v>
      </c>
      <c r="D28" s="4">
        <v>513.1</v>
      </c>
      <c r="E28" s="7">
        <v>0.12936816096011297</v>
      </c>
      <c r="R28" s="4" t="s">
        <v>27</v>
      </c>
      <c r="S28" s="4">
        <v>513.1</v>
      </c>
      <c r="T28" s="7">
        <v>9.5483558814224823E-2</v>
      </c>
    </row>
    <row r="29" spans="3:22" x14ac:dyDescent="0.3">
      <c r="C29" s="4" t="s">
        <v>31</v>
      </c>
      <c r="D29" s="4">
        <v>201</v>
      </c>
      <c r="E29" s="7">
        <v>5.0678231052392719E-2</v>
      </c>
      <c r="R29" s="4" t="s">
        <v>31</v>
      </c>
      <c r="S29" s="4">
        <v>201</v>
      </c>
      <c r="T29" s="7">
        <v>3.7404395481697897E-2</v>
      </c>
    </row>
    <row r="30" spans="3:22" x14ac:dyDescent="0.3">
      <c r="C30" s="4" t="s">
        <v>33</v>
      </c>
      <c r="D30" s="4">
        <v>719.3</v>
      </c>
      <c r="E30" s="7">
        <v>0.18135747062679641</v>
      </c>
      <c r="R30" s="4" t="s">
        <v>33</v>
      </c>
      <c r="S30" s="4">
        <v>719.3</v>
      </c>
      <c r="T30" s="7">
        <v>0.13385563019893182</v>
      </c>
    </row>
    <row r="39" spans="4:26" ht="15" thickBot="1" x14ac:dyDescent="0.35"/>
    <row r="40" spans="4:26" ht="21" x14ac:dyDescent="0.4">
      <c r="L40" s="9" t="s">
        <v>133</v>
      </c>
      <c r="M40" s="37" t="s">
        <v>130</v>
      </c>
      <c r="N40" s="38"/>
      <c r="O40" s="38"/>
      <c r="P40" s="38"/>
      <c r="Q40" s="38"/>
      <c r="R40" s="38"/>
      <c r="S40" s="38"/>
      <c r="T40" s="38"/>
      <c r="U40" s="38"/>
      <c r="V40" s="38"/>
      <c r="W40" s="38"/>
      <c r="X40" s="39"/>
      <c r="Y40" s="38"/>
      <c r="Z40" s="34"/>
    </row>
    <row r="41" spans="4:26" x14ac:dyDescent="0.3">
      <c r="M41" s="40" t="s">
        <v>128</v>
      </c>
      <c r="N41" s="1"/>
      <c r="O41" s="1"/>
      <c r="P41" s="1"/>
      <c r="Q41" s="1"/>
      <c r="R41" s="1"/>
      <c r="S41" s="1"/>
      <c r="T41" s="1"/>
      <c r="U41" s="1"/>
      <c r="V41" s="1"/>
      <c r="W41" s="1"/>
      <c r="X41" s="41"/>
      <c r="Y41" s="1"/>
      <c r="Z41" s="35"/>
    </row>
    <row r="42" spans="4:26" ht="15" thickBot="1" x14ac:dyDescent="0.35">
      <c r="D42" s="44"/>
      <c r="M42" s="42" t="s">
        <v>129</v>
      </c>
      <c r="N42" s="43"/>
      <c r="O42" s="43"/>
      <c r="P42" s="43"/>
      <c r="Q42" s="43"/>
      <c r="R42" s="43"/>
      <c r="S42" s="43"/>
      <c r="T42" s="43"/>
      <c r="U42" s="43"/>
      <c r="V42" s="43"/>
      <c r="W42" s="43"/>
      <c r="X42" s="43"/>
      <c r="Y42" s="43"/>
      <c r="Z42" s="36"/>
    </row>
    <row r="43" spans="4:26" x14ac:dyDescent="0.3">
      <c r="D43" s="44"/>
    </row>
    <row r="44" spans="4:26" x14ac:dyDescent="0.3">
      <c r="D44" s="44"/>
    </row>
    <row r="45" spans="4:26" x14ac:dyDescent="0.3">
      <c r="D45" s="44"/>
    </row>
    <row r="46" spans="4:26" x14ac:dyDescent="0.3">
      <c r="D46" s="44"/>
    </row>
    <row r="47" spans="4:26" x14ac:dyDescent="0.3">
      <c r="D47" s="44"/>
    </row>
    <row r="48" spans="4:26" x14ac:dyDescent="0.3">
      <c r="D48" s="4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31353-B250-4E12-BBB6-2BD7C5DB2415}">
  <dimension ref="A3:X233"/>
  <sheetViews>
    <sheetView tabSelected="1" topLeftCell="H11" zoomScale="73" workbookViewId="0">
      <selection activeCell="O13" sqref="O13"/>
    </sheetView>
  </sheetViews>
  <sheetFormatPr defaultRowHeight="14.4" x14ac:dyDescent="0.3"/>
  <cols>
    <col min="5" max="5" width="13.6640625" customWidth="1"/>
    <col min="22" max="22" width="11.88671875" customWidth="1"/>
    <col min="23" max="23" width="15.109375" customWidth="1"/>
  </cols>
  <sheetData>
    <row r="3" spans="1:23" ht="21" x14ac:dyDescent="0.4">
      <c r="A3" s="9" t="s">
        <v>53</v>
      </c>
      <c r="B3" s="56" t="s">
        <v>54</v>
      </c>
      <c r="C3" s="56"/>
      <c r="D3" s="56"/>
      <c r="E3" s="56"/>
      <c r="F3" s="56"/>
      <c r="G3" s="56"/>
      <c r="H3" s="56"/>
      <c r="I3" s="56"/>
      <c r="J3" s="56"/>
      <c r="K3" s="56"/>
      <c r="L3" s="56"/>
      <c r="M3" s="56"/>
      <c r="N3" s="56"/>
      <c r="O3" s="56"/>
      <c r="P3" s="10"/>
      <c r="Q3" s="10"/>
      <c r="R3" s="10"/>
    </row>
    <row r="6" spans="1:23" x14ac:dyDescent="0.3">
      <c r="B6" s="1" t="s">
        <v>68</v>
      </c>
    </row>
    <row r="8" spans="1:23" x14ac:dyDescent="0.3">
      <c r="B8" s="6" t="s">
        <v>37</v>
      </c>
      <c r="C8" s="6" t="s">
        <v>38</v>
      </c>
      <c r="D8" s="6" t="s">
        <v>39</v>
      </c>
      <c r="E8" s="6" t="s">
        <v>55</v>
      </c>
    </row>
    <row r="9" spans="1:23" ht="15" thickBot="1" x14ac:dyDescent="0.35">
      <c r="B9" t="s">
        <v>41</v>
      </c>
      <c r="C9">
        <v>2017</v>
      </c>
      <c r="D9" t="s">
        <v>56</v>
      </c>
      <c r="E9">
        <v>132.4</v>
      </c>
    </row>
    <row r="10" spans="1:23" ht="24" thickBot="1" x14ac:dyDescent="0.5">
      <c r="B10" t="s">
        <v>44</v>
      </c>
      <c r="C10">
        <v>2017</v>
      </c>
      <c r="D10" t="s">
        <v>56</v>
      </c>
      <c r="E10">
        <v>127.8</v>
      </c>
      <c r="S10" s="46" t="s">
        <v>73</v>
      </c>
      <c r="T10" s="47"/>
      <c r="U10" s="47"/>
      <c r="V10" s="48"/>
    </row>
    <row r="11" spans="1:23" x14ac:dyDescent="0.3">
      <c r="B11" t="s">
        <v>45</v>
      </c>
      <c r="C11">
        <v>2017</v>
      </c>
      <c r="D11" t="s">
        <v>56</v>
      </c>
      <c r="E11">
        <v>130.30000000000001</v>
      </c>
    </row>
    <row r="12" spans="1:23" x14ac:dyDescent="0.3">
      <c r="B12" t="s">
        <v>41</v>
      </c>
      <c r="C12">
        <v>2017</v>
      </c>
      <c r="D12" t="s">
        <v>57</v>
      </c>
      <c r="E12">
        <v>132.6</v>
      </c>
    </row>
    <row r="13" spans="1:23" x14ac:dyDescent="0.3">
      <c r="B13" t="s">
        <v>44</v>
      </c>
      <c r="C13">
        <v>2017</v>
      </c>
      <c r="D13" t="s">
        <v>57</v>
      </c>
      <c r="E13">
        <v>128.19999999999999</v>
      </c>
      <c r="G13" t="s">
        <v>70</v>
      </c>
      <c r="H13" s="5" t="s">
        <v>72</v>
      </c>
      <c r="I13" s="5"/>
      <c r="J13" s="5"/>
      <c r="K13" s="5"/>
      <c r="L13" s="5"/>
      <c r="M13" s="5"/>
    </row>
    <row r="14" spans="1:23" x14ac:dyDescent="0.3">
      <c r="B14" t="s">
        <v>45</v>
      </c>
      <c r="C14">
        <v>2017</v>
      </c>
      <c r="D14" t="s">
        <v>57</v>
      </c>
      <c r="E14">
        <v>130.6</v>
      </c>
    </row>
    <row r="15" spans="1:23" ht="18" x14ac:dyDescent="0.35">
      <c r="B15" t="s">
        <v>41</v>
      </c>
      <c r="C15">
        <v>2017</v>
      </c>
      <c r="D15" t="s">
        <v>58</v>
      </c>
      <c r="E15">
        <v>132.80000000000001</v>
      </c>
      <c r="W15" s="13" t="s">
        <v>74</v>
      </c>
    </row>
    <row r="16" spans="1:23" x14ac:dyDescent="0.3">
      <c r="B16" t="s">
        <v>44</v>
      </c>
      <c r="C16">
        <v>2017</v>
      </c>
      <c r="D16" t="s">
        <v>58</v>
      </c>
      <c r="E16">
        <v>128.69999999999999</v>
      </c>
    </row>
    <row r="17" spans="2:9" x14ac:dyDescent="0.3">
      <c r="B17" t="s">
        <v>45</v>
      </c>
      <c r="C17">
        <v>2017</v>
      </c>
      <c r="D17" t="s">
        <v>58</v>
      </c>
      <c r="E17">
        <v>130.9</v>
      </c>
    </row>
    <row r="18" spans="2:9" x14ac:dyDescent="0.3">
      <c r="B18" t="s">
        <v>41</v>
      </c>
      <c r="C18">
        <v>2017</v>
      </c>
      <c r="D18" t="s">
        <v>59</v>
      </c>
      <c r="E18">
        <v>132.9</v>
      </c>
    </row>
    <row r="19" spans="2:9" x14ac:dyDescent="0.3">
      <c r="B19" t="s">
        <v>44</v>
      </c>
      <c r="C19">
        <v>2017</v>
      </c>
      <c r="D19" t="s">
        <v>59</v>
      </c>
      <c r="E19">
        <v>129.1</v>
      </c>
    </row>
    <row r="20" spans="2:9" x14ac:dyDescent="0.3">
      <c r="B20" t="s">
        <v>45</v>
      </c>
      <c r="C20">
        <v>2017</v>
      </c>
      <c r="D20" t="s">
        <v>59</v>
      </c>
      <c r="E20">
        <v>131.1</v>
      </c>
    </row>
    <row r="21" spans="2:9" x14ac:dyDescent="0.3">
      <c r="B21" t="s">
        <v>41</v>
      </c>
      <c r="C21">
        <v>2017</v>
      </c>
      <c r="D21" t="s">
        <v>42</v>
      </c>
      <c r="E21">
        <v>133.30000000000001</v>
      </c>
    </row>
    <row r="22" spans="2:9" x14ac:dyDescent="0.3">
      <c r="B22" t="s">
        <v>44</v>
      </c>
      <c r="C22">
        <v>2017</v>
      </c>
      <c r="D22" t="s">
        <v>42</v>
      </c>
      <c r="E22">
        <v>129.30000000000001</v>
      </c>
    </row>
    <row r="23" spans="2:9" x14ac:dyDescent="0.3">
      <c r="B23" t="s">
        <v>45</v>
      </c>
      <c r="C23">
        <v>2017</v>
      </c>
      <c r="D23" t="s">
        <v>42</v>
      </c>
      <c r="E23">
        <v>131.4</v>
      </c>
    </row>
    <row r="24" spans="2:9" x14ac:dyDescent="0.3">
      <c r="B24" t="s">
        <v>41</v>
      </c>
      <c r="C24">
        <v>2017</v>
      </c>
      <c r="D24" t="s">
        <v>60</v>
      </c>
      <c r="E24">
        <v>133.9</v>
      </c>
      <c r="H24" t="s">
        <v>69</v>
      </c>
    </row>
    <row r="25" spans="2:9" x14ac:dyDescent="0.3">
      <c r="B25" t="s">
        <v>44</v>
      </c>
      <c r="C25">
        <v>2017</v>
      </c>
      <c r="D25" t="s">
        <v>60</v>
      </c>
      <c r="E25">
        <v>129.9</v>
      </c>
    </row>
    <row r="26" spans="2:9" x14ac:dyDescent="0.3">
      <c r="B26" t="s">
        <v>45</v>
      </c>
      <c r="C26">
        <v>2017</v>
      </c>
      <c r="D26" t="s">
        <v>60</v>
      </c>
      <c r="E26">
        <v>132</v>
      </c>
      <c r="H26" s="4" t="s">
        <v>70</v>
      </c>
      <c r="I26" s="4" t="s">
        <v>71</v>
      </c>
    </row>
    <row r="27" spans="2:9" x14ac:dyDescent="0.3">
      <c r="B27" t="s">
        <v>41</v>
      </c>
      <c r="C27">
        <v>2017</v>
      </c>
      <c r="D27" t="s">
        <v>61</v>
      </c>
      <c r="E27">
        <v>136.19999999999999</v>
      </c>
      <c r="H27" s="11">
        <f>((E44-E11)/E11*100)</f>
        <v>5.2954719877206271</v>
      </c>
      <c r="I27" s="4">
        <v>2017</v>
      </c>
    </row>
    <row r="28" spans="2:9" x14ac:dyDescent="0.3">
      <c r="B28" t="s">
        <v>44</v>
      </c>
      <c r="C28">
        <v>2017</v>
      </c>
      <c r="D28" t="s">
        <v>61</v>
      </c>
      <c r="E28">
        <v>131.80000000000001</v>
      </c>
      <c r="H28" s="12">
        <v>2.3374726077428698</v>
      </c>
      <c r="I28" s="4">
        <v>2018</v>
      </c>
    </row>
    <row r="29" spans="2:9" x14ac:dyDescent="0.3">
      <c r="B29" t="s">
        <v>45</v>
      </c>
      <c r="C29">
        <v>2017</v>
      </c>
      <c r="D29" t="s">
        <v>61</v>
      </c>
      <c r="E29">
        <v>134.19999999999999</v>
      </c>
      <c r="H29" s="12">
        <v>7.7363896848137621</v>
      </c>
      <c r="I29" s="4">
        <v>2019</v>
      </c>
    </row>
    <row r="30" spans="2:9" x14ac:dyDescent="0.3">
      <c r="B30" t="s">
        <v>41</v>
      </c>
      <c r="C30">
        <v>2017</v>
      </c>
      <c r="D30" t="s">
        <v>62</v>
      </c>
      <c r="E30">
        <v>137.80000000000001</v>
      </c>
      <c r="H30" s="12">
        <v>5.7922769640479483</v>
      </c>
      <c r="I30" s="4">
        <v>2020</v>
      </c>
    </row>
    <row r="31" spans="2:9" x14ac:dyDescent="0.3">
      <c r="B31" t="s">
        <v>44</v>
      </c>
      <c r="C31">
        <v>2017</v>
      </c>
      <c r="D31" t="s">
        <v>62</v>
      </c>
      <c r="E31">
        <v>132.69999999999999</v>
      </c>
      <c r="H31" s="12">
        <v>5.6579783852510976</v>
      </c>
      <c r="I31" s="4">
        <v>2021</v>
      </c>
    </row>
    <row r="32" spans="2:9" x14ac:dyDescent="0.3">
      <c r="B32" t="s">
        <v>45</v>
      </c>
      <c r="C32">
        <v>2017</v>
      </c>
      <c r="D32" t="s">
        <v>62</v>
      </c>
      <c r="E32">
        <v>135.4</v>
      </c>
      <c r="H32" s="12">
        <v>6.0350030175015092</v>
      </c>
      <c r="I32" s="4">
        <v>2022</v>
      </c>
    </row>
    <row r="33" spans="2:24" x14ac:dyDescent="0.3">
      <c r="B33" t="s">
        <v>41</v>
      </c>
      <c r="C33">
        <v>2017</v>
      </c>
      <c r="D33" t="s">
        <v>63</v>
      </c>
      <c r="E33">
        <v>137.6</v>
      </c>
    </row>
    <row r="34" spans="2:24" x14ac:dyDescent="0.3">
      <c r="B34" t="s">
        <v>44</v>
      </c>
      <c r="C34">
        <v>2017</v>
      </c>
      <c r="D34" t="s">
        <v>63</v>
      </c>
      <c r="E34">
        <v>132.4</v>
      </c>
    </row>
    <row r="35" spans="2:24" x14ac:dyDescent="0.3">
      <c r="B35" t="s">
        <v>45</v>
      </c>
      <c r="C35">
        <v>2017</v>
      </c>
      <c r="D35" t="s">
        <v>63</v>
      </c>
      <c r="E35">
        <v>135.19999999999999</v>
      </c>
    </row>
    <row r="36" spans="2:24" x14ac:dyDescent="0.3">
      <c r="B36" t="s">
        <v>41</v>
      </c>
      <c r="C36">
        <v>2017</v>
      </c>
      <c r="D36" t="s">
        <v>64</v>
      </c>
      <c r="E36">
        <v>138.30000000000001</v>
      </c>
    </row>
    <row r="37" spans="2:24" x14ac:dyDescent="0.3">
      <c r="B37" t="s">
        <v>44</v>
      </c>
      <c r="C37">
        <v>2017</v>
      </c>
      <c r="D37" t="s">
        <v>64</v>
      </c>
      <c r="E37">
        <v>133.5</v>
      </c>
    </row>
    <row r="38" spans="2:24" x14ac:dyDescent="0.3">
      <c r="B38" t="s">
        <v>45</v>
      </c>
      <c r="C38">
        <v>2017</v>
      </c>
      <c r="D38" t="s">
        <v>64</v>
      </c>
      <c r="E38">
        <v>136.1</v>
      </c>
      <c r="W38" s="1" t="s">
        <v>194</v>
      </c>
    </row>
    <row r="39" spans="2:24" x14ac:dyDescent="0.3">
      <c r="B39" t="s">
        <v>41</v>
      </c>
      <c r="C39">
        <v>2017</v>
      </c>
      <c r="D39" t="s">
        <v>65</v>
      </c>
      <c r="E39">
        <v>140</v>
      </c>
      <c r="W39" t="s">
        <v>133</v>
      </c>
      <c r="X39" t="s">
        <v>189</v>
      </c>
    </row>
    <row r="40" spans="2:24" x14ac:dyDescent="0.3">
      <c r="B40" t="s">
        <v>44</v>
      </c>
      <c r="C40">
        <v>2017</v>
      </c>
      <c r="D40" t="s">
        <v>65</v>
      </c>
      <c r="E40">
        <v>134.80000000000001</v>
      </c>
      <c r="X40" t="s">
        <v>188</v>
      </c>
    </row>
    <row r="41" spans="2:24" x14ac:dyDescent="0.3">
      <c r="B41" t="s">
        <v>45</v>
      </c>
      <c r="C41">
        <v>2017</v>
      </c>
      <c r="D41" t="s">
        <v>65</v>
      </c>
      <c r="E41">
        <v>137.6</v>
      </c>
      <c r="W41" t="s">
        <v>133</v>
      </c>
      <c r="X41" t="s">
        <v>191</v>
      </c>
    </row>
    <row r="42" spans="2:24" x14ac:dyDescent="0.3">
      <c r="B42" t="s">
        <v>41</v>
      </c>
      <c r="C42">
        <v>2017</v>
      </c>
      <c r="D42" t="s">
        <v>66</v>
      </c>
      <c r="E42">
        <v>139.80000000000001</v>
      </c>
      <c r="X42" t="s">
        <v>190</v>
      </c>
    </row>
    <row r="43" spans="2:24" x14ac:dyDescent="0.3">
      <c r="B43" t="s">
        <v>44</v>
      </c>
      <c r="C43">
        <v>2017</v>
      </c>
      <c r="D43" t="s">
        <v>66</v>
      </c>
      <c r="E43">
        <v>134.1</v>
      </c>
      <c r="W43" t="s">
        <v>133</v>
      </c>
      <c r="X43" t="s">
        <v>193</v>
      </c>
    </row>
    <row r="44" spans="2:24" x14ac:dyDescent="0.3">
      <c r="B44" t="s">
        <v>45</v>
      </c>
      <c r="C44">
        <v>2017</v>
      </c>
      <c r="D44" t="s">
        <v>66</v>
      </c>
      <c r="E44">
        <v>137.19999999999999</v>
      </c>
      <c r="X44" t="s">
        <v>192</v>
      </c>
    </row>
    <row r="45" spans="2:24" x14ac:dyDescent="0.3">
      <c r="B45" t="s">
        <v>41</v>
      </c>
      <c r="C45">
        <v>2018</v>
      </c>
      <c r="D45" t="s">
        <v>56</v>
      </c>
      <c r="E45">
        <v>139.30000000000001</v>
      </c>
    </row>
    <row r="46" spans="2:24" x14ac:dyDescent="0.3">
      <c r="B46" t="s">
        <v>44</v>
      </c>
      <c r="C46">
        <v>2018</v>
      </c>
      <c r="D46" t="s">
        <v>56</v>
      </c>
      <c r="E46">
        <v>134.1</v>
      </c>
    </row>
    <row r="47" spans="2:24" x14ac:dyDescent="0.3">
      <c r="B47" t="s">
        <v>45</v>
      </c>
      <c r="C47">
        <v>2018</v>
      </c>
      <c r="D47" t="s">
        <v>56</v>
      </c>
      <c r="E47">
        <v>136.9</v>
      </c>
    </row>
    <row r="48" spans="2:24" x14ac:dyDescent="0.3">
      <c r="B48" t="s">
        <v>41</v>
      </c>
      <c r="C48">
        <v>2018</v>
      </c>
      <c r="D48" t="s">
        <v>57</v>
      </c>
      <c r="E48">
        <v>138.5</v>
      </c>
    </row>
    <row r="49" spans="2:5" x14ac:dyDescent="0.3">
      <c r="B49" t="s">
        <v>44</v>
      </c>
      <c r="C49">
        <v>2018</v>
      </c>
      <c r="D49" t="s">
        <v>57</v>
      </c>
      <c r="E49">
        <v>134</v>
      </c>
    </row>
    <row r="50" spans="2:5" x14ac:dyDescent="0.3">
      <c r="B50" t="s">
        <v>45</v>
      </c>
      <c r="C50">
        <v>2018</v>
      </c>
      <c r="D50" t="s">
        <v>57</v>
      </c>
      <c r="E50">
        <v>136.4</v>
      </c>
    </row>
    <row r="51" spans="2:5" x14ac:dyDescent="0.3">
      <c r="B51" t="s">
        <v>41</v>
      </c>
      <c r="C51">
        <v>2018</v>
      </c>
      <c r="D51" t="s">
        <v>58</v>
      </c>
      <c r="E51">
        <v>138.69999999999999</v>
      </c>
    </row>
    <row r="52" spans="2:5" x14ac:dyDescent="0.3">
      <c r="B52" t="s">
        <v>44</v>
      </c>
      <c r="C52">
        <v>2018</v>
      </c>
      <c r="D52" t="s">
        <v>58</v>
      </c>
      <c r="E52">
        <v>134</v>
      </c>
    </row>
    <row r="53" spans="2:5" x14ac:dyDescent="0.3">
      <c r="B53" t="s">
        <v>45</v>
      </c>
      <c r="C53">
        <v>2018</v>
      </c>
      <c r="D53" t="s">
        <v>58</v>
      </c>
      <c r="E53">
        <v>136.5</v>
      </c>
    </row>
    <row r="54" spans="2:5" x14ac:dyDescent="0.3">
      <c r="B54" t="s">
        <v>41</v>
      </c>
      <c r="C54">
        <v>2018</v>
      </c>
      <c r="D54" t="s">
        <v>59</v>
      </c>
      <c r="E54">
        <v>139.1</v>
      </c>
    </row>
    <row r="55" spans="2:5" x14ac:dyDescent="0.3">
      <c r="B55" t="s">
        <v>44</v>
      </c>
      <c r="C55">
        <v>2018</v>
      </c>
      <c r="D55" t="s">
        <v>59</v>
      </c>
      <c r="E55">
        <v>134.80000000000001</v>
      </c>
    </row>
    <row r="56" spans="2:5" x14ac:dyDescent="0.3">
      <c r="B56" t="s">
        <v>45</v>
      </c>
      <c r="C56">
        <v>2018</v>
      </c>
      <c r="D56" t="s">
        <v>59</v>
      </c>
      <c r="E56">
        <v>137.1</v>
      </c>
    </row>
    <row r="57" spans="2:5" x14ac:dyDescent="0.3">
      <c r="B57" t="s">
        <v>41</v>
      </c>
      <c r="C57">
        <v>2018</v>
      </c>
      <c r="D57" t="s">
        <v>42</v>
      </c>
      <c r="E57">
        <v>139.80000000000001</v>
      </c>
    </row>
    <row r="58" spans="2:5" x14ac:dyDescent="0.3">
      <c r="B58" t="s">
        <v>44</v>
      </c>
      <c r="C58">
        <v>2018</v>
      </c>
      <c r="D58" t="s">
        <v>42</v>
      </c>
      <c r="E58">
        <v>135.4</v>
      </c>
    </row>
    <row r="59" spans="2:5" x14ac:dyDescent="0.3">
      <c r="B59" t="s">
        <v>45</v>
      </c>
      <c r="C59">
        <v>2018</v>
      </c>
      <c r="D59" t="s">
        <v>42</v>
      </c>
      <c r="E59">
        <v>137.80000000000001</v>
      </c>
    </row>
    <row r="60" spans="2:5" x14ac:dyDescent="0.3">
      <c r="B60" t="s">
        <v>41</v>
      </c>
      <c r="C60">
        <v>2018</v>
      </c>
      <c r="D60" t="s">
        <v>60</v>
      </c>
      <c r="E60">
        <v>140.5</v>
      </c>
    </row>
    <row r="61" spans="2:5" x14ac:dyDescent="0.3">
      <c r="B61" t="s">
        <v>44</v>
      </c>
      <c r="C61">
        <v>2018</v>
      </c>
      <c r="D61" t="s">
        <v>60</v>
      </c>
      <c r="E61">
        <v>136.19999999999999</v>
      </c>
    </row>
    <row r="62" spans="2:5" x14ac:dyDescent="0.3">
      <c r="B62" t="s">
        <v>45</v>
      </c>
      <c r="C62">
        <v>2018</v>
      </c>
      <c r="D62" t="s">
        <v>60</v>
      </c>
      <c r="E62">
        <v>138.5</v>
      </c>
    </row>
    <row r="63" spans="2:5" x14ac:dyDescent="0.3">
      <c r="B63" t="s">
        <v>41</v>
      </c>
      <c r="C63">
        <v>2018</v>
      </c>
      <c r="D63" t="s">
        <v>61</v>
      </c>
      <c r="E63">
        <v>141.80000000000001</v>
      </c>
    </row>
    <row r="64" spans="2:5" x14ac:dyDescent="0.3">
      <c r="B64" t="s">
        <v>44</v>
      </c>
      <c r="C64">
        <v>2018</v>
      </c>
      <c r="D64" t="s">
        <v>61</v>
      </c>
      <c r="E64">
        <v>137.5</v>
      </c>
    </row>
    <row r="65" spans="2:5" x14ac:dyDescent="0.3">
      <c r="B65" t="s">
        <v>45</v>
      </c>
      <c r="C65">
        <v>2018</v>
      </c>
      <c r="D65" t="s">
        <v>61</v>
      </c>
      <c r="E65">
        <v>139.80000000000001</v>
      </c>
    </row>
    <row r="66" spans="2:5" x14ac:dyDescent="0.3">
      <c r="B66" t="s">
        <v>41</v>
      </c>
      <c r="C66">
        <v>2018</v>
      </c>
      <c r="D66" t="s">
        <v>62</v>
      </c>
      <c r="E66">
        <v>142.5</v>
      </c>
    </row>
    <row r="67" spans="2:5" x14ac:dyDescent="0.3">
      <c r="B67" t="s">
        <v>44</v>
      </c>
      <c r="C67">
        <v>2018</v>
      </c>
      <c r="D67" t="s">
        <v>62</v>
      </c>
      <c r="E67">
        <v>138</v>
      </c>
    </row>
    <row r="68" spans="2:5" x14ac:dyDescent="0.3">
      <c r="B68" t="s">
        <v>45</v>
      </c>
      <c r="C68">
        <v>2018</v>
      </c>
      <c r="D68" t="s">
        <v>62</v>
      </c>
      <c r="E68">
        <v>140.4</v>
      </c>
    </row>
    <row r="69" spans="2:5" x14ac:dyDescent="0.3">
      <c r="B69" t="s">
        <v>41</v>
      </c>
      <c r="C69">
        <v>2018</v>
      </c>
      <c r="D69" t="s">
        <v>63</v>
      </c>
      <c r="E69">
        <v>142.1</v>
      </c>
    </row>
    <row r="70" spans="2:5" x14ac:dyDescent="0.3">
      <c r="B70" t="s">
        <v>44</v>
      </c>
      <c r="C70">
        <v>2018</v>
      </c>
      <c r="D70" t="s">
        <v>63</v>
      </c>
      <c r="E70">
        <v>138.1</v>
      </c>
    </row>
    <row r="71" spans="2:5" x14ac:dyDescent="0.3">
      <c r="B71" t="s">
        <v>45</v>
      </c>
      <c r="C71">
        <v>2018</v>
      </c>
      <c r="D71" t="s">
        <v>63</v>
      </c>
      <c r="E71">
        <v>140.19999999999999</v>
      </c>
    </row>
    <row r="72" spans="2:5" x14ac:dyDescent="0.3">
      <c r="B72" t="s">
        <v>41</v>
      </c>
      <c r="C72">
        <v>2018</v>
      </c>
      <c r="D72" t="s">
        <v>64</v>
      </c>
      <c r="E72">
        <v>142.19999999999999</v>
      </c>
    </row>
    <row r="73" spans="2:5" x14ac:dyDescent="0.3">
      <c r="B73" t="s">
        <v>44</v>
      </c>
      <c r="C73">
        <v>2018</v>
      </c>
      <c r="D73" t="s">
        <v>64</v>
      </c>
      <c r="E73">
        <v>138.9</v>
      </c>
    </row>
    <row r="74" spans="2:5" x14ac:dyDescent="0.3">
      <c r="B74" t="s">
        <v>45</v>
      </c>
      <c r="C74">
        <v>2018</v>
      </c>
      <c r="D74" t="s">
        <v>64</v>
      </c>
      <c r="E74">
        <v>140.80000000000001</v>
      </c>
    </row>
    <row r="75" spans="2:5" x14ac:dyDescent="0.3">
      <c r="B75" t="s">
        <v>41</v>
      </c>
      <c r="C75">
        <v>2018</v>
      </c>
      <c r="D75" t="s">
        <v>65</v>
      </c>
      <c r="E75">
        <v>142.4</v>
      </c>
    </row>
    <row r="76" spans="2:5" x14ac:dyDescent="0.3">
      <c r="B76" t="s">
        <v>44</v>
      </c>
      <c r="C76">
        <v>2018</v>
      </c>
      <c r="D76" t="s">
        <v>65</v>
      </c>
      <c r="E76">
        <v>139</v>
      </c>
    </row>
    <row r="77" spans="2:5" x14ac:dyDescent="0.3">
      <c r="B77" t="s">
        <v>45</v>
      </c>
      <c r="C77">
        <v>2018</v>
      </c>
      <c r="D77" t="s">
        <v>65</v>
      </c>
      <c r="E77">
        <v>140.80000000000001</v>
      </c>
    </row>
    <row r="78" spans="2:5" x14ac:dyDescent="0.3">
      <c r="B78" t="s">
        <v>41</v>
      </c>
      <c r="C78">
        <v>2018</v>
      </c>
      <c r="D78" t="s">
        <v>66</v>
      </c>
      <c r="E78">
        <v>141.9</v>
      </c>
    </row>
    <row r="79" spans="2:5" x14ac:dyDescent="0.3">
      <c r="B79" t="s">
        <v>44</v>
      </c>
      <c r="C79">
        <v>2018</v>
      </c>
      <c r="D79" t="s">
        <v>66</v>
      </c>
      <c r="E79">
        <v>138</v>
      </c>
    </row>
    <row r="80" spans="2:5" x14ac:dyDescent="0.3">
      <c r="B80" t="s">
        <v>45</v>
      </c>
      <c r="C80">
        <v>2018</v>
      </c>
      <c r="D80" t="s">
        <v>66</v>
      </c>
      <c r="E80">
        <v>140.1</v>
      </c>
    </row>
    <row r="81" spans="2:5" x14ac:dyDescent="0.3">
      <c r="B81" t="s">
        <v>41</v>
      </c>
      <c r="C81">
        <v>2019</v>
      </c>
      <c r="D81" t="s">
        <v>56</v>
      </c>
      <c r="E81">
        <v>141</v>
      </c>
    </row>
    <row r="82" spans="2:5" x14ac:dyDescent="0.3">
      <c r="B82" t="s">
        <v>44</v>
      </c>
      <c r="C82">
        <v>2019</v>
      </c>
      <c r="D82" t="s">
        <v>56</v>
      </c>
      <c r="E82">
        <v>138</v>
      </c>
    </row>
    <row r="83" spans="2:5" x14ac:dyDescent="0.3">
      <c r="B83" t="s">
        <v>45</v>
      </c>
      <c r="C83">
        <v>2019</v>
      </c>
      <c r="D83" t="s">
        <v>56</v>
      </c>
      <c r="E83">
        <v>139.6</v>
      </c>
    </row>
    <row r="84" spans="2:5" x14ac:dyDescent="0.3">
      <c r="B84" t="s">
        <v>41</v>
      </c>
      <c r="C84">
        <v>2019</v>
      </c>
      <c r="D84" t="s">
        <v>57</v>
      </c>
      <c r="E84">
        <v>141</v>
      </c>
    </row>
    <row r="85" spans="2:5" x14ac:dyDescent="0.3">
      <c r="B85" t="s">
        <v>44</v>
      </c>
      <c r="C85">
        <v>2019</v>
      </c>
      <c r="D85" t="s">
        <v>57</v>
      </c>
      <c r="E85">
        <v>138.6</v>
      </c>
    </row>
    <row r="86" spans="2:5" x14ac:dyDescent="0.3">
      <c r="B86" t="s">
        <v>45</v>
      </c>
      <c r="C86">
        <v>2019</v>
      </c>
      <c r="D86" t="s">
        <v>57</v>
      </c>
      <c r="E86">
        <v>139.9</v>
      </c>
    </row>
    <row r="87" spans="2:5" x14ac:dyDescent="0.3">
      <c r="B87" t="s">
        <v>41</v>
      </c>
      <c r="C87">
        <v>2019</v>
      </c>
      <c r="D87" t="s">
        <v>58</v>
      </c>
      <c r="E87">
        <v>141.19999999999999</v>
      </c>
    </row>
    <row r="88" spans="2:5" x14ac:dyDescent="0.3">
      <c r="B88" t="s">
        <v>44</v>
      </c>
      <c r="C88">
        <v>2019</v>
      </c>
      <c r="D88" t="s">
        <v>58</v>
      </c>
      <c r="E88">
        <v>139.5</v>
      </c>
    </row>
    <row r="89" spans="2:5" x14ac:dyDescent="0.3">
      <c r="B89" t="s">
        <v>45</v>
      </c>
      <c r="C89">
        <v>2019</v>
      </c>
      <c r="D89" t="s">
        <v>58</v>
      </c>
      <c r="E89">
        <v>140.4</v>
      </c>
    </row>
    <row r="90" spans="2:5" x14ac:dyDescent="0.3">
      <c r="B90" t="s">
        <v>41</v>
      </c>
      <c r="C90">
        <v>2019</v>
      </c>
      <c r="D90" t="s">
        <v>42</v>
      </c>
      <c r="E90">
        <v>142.4</v>
      </c>
    </row>
    <row r="91" spans="2:5" x14ac:dyDescent="0.3">
      <c r="B91" t="s">
        <v>44</v>
      </c>
      <c r="C91">
        <v>2019</v>
      </c>
      <c r="D91" t="s">
        <v>42</v>
      </c>
      <c r="E91">
        <v>141.5</v>
      </c>
    </row>
    <row r="92" spans="2:5" x14ac:dyDescent="0.3">
      <c r="B92" t="s">
        <v>45</v>
      </c>
      <c r="C92">
        <v>2019</v>
      </c>
      <c r="D92" t="s">
        <v>42</v>
      </c>
      <c r="E92">
        <v>142</v>
      </c>
    </row>
    <row r="93" spans="2:5" x14ac:dyDescent="0.3">
      <c r="B93" t="s">
        <v>41</v>
      </c>
      <c r="C93">
        <v>2019</v>
      </c>
      <c r="D93" t="s">
        <v>60</v>
      </c>
      <c r="E93">
        <v>143.6</v>
      </c>
    </row>
    <row r="94" spans="2:5" x14ac:dyDescent="0.3">
      <c r="B94" t="s">
        <v>44</v>
      </c>
      <c r="C94">
        <v>2019</v>
      </c>
      <c r="D94" t="s">
        <v>60</v>
      </c>
      <c r="E94">
        <v>142.1</v>
      </c>
    </row>
    <row r="95" spans="2:5" x14ac:dyDescent="0.3">
      <c r="B95" t="s">
        <v>45</v>
      </c>
      <c r="C95">
        <v>2019</v>
      </c>
      <c r="D95" t="s">
        <v>60</v>
      </c>
      <c r="E95">
        <v>142.9</v>
      </c>
    </row>
    <row r="96" spans="2:5" x14ac:dyDescent="0.3">
      <c r="B96" t="s">
        <v>41</v>
      </c>
      <c r="C96">
        <v>2019</v>
      </c>
      <c r="D96" t="s">
        <v>61</v>
      </c>
      <c r="E96">
        <v>144.9</v>
      </c>
    </row>
    <row r="97" spans="2:5" x14ac:dyDescent="0.3">
      <c r="B97" t="s">
        <v>44</v>
      </c>
      <c r="C97">
        <v>2019</v>
      </c>
      <c r="D97" t="s">
        <v>61</v>
      </c>
      <c r="E97">
        <v>143.30000000000001</v>
      </c>
    </row>
    <row r="98" spans="2:5" x14ac:dyDescent="0.3">
      <c r="B98" t="s">
        <v>45</v>
      </c>
      <c r="C98">
        <v>2019</v>
      </c>
      <c r="D98" t="s">
        <v>61</v>
      </c>
      <c r="E98">
        <v>144.19999999999999</v>
      </c>
    </row>
    <row r="99" spans="2:5" x14ac:dyDescent="0.3">
      <c r="B99" t="s">
        <v>41</v>
      </c>
      <c r="C99">
        <v>2019</v>
      </c>
      <c r="D99" t="s">
        <v>62</v>
      </c>
      <c r="E99">
        <v>145.69999999999999</v>
      </c>
    </row>
    <row r="100" spans="2:5" x14ac:dyDescent="0.3">
      <c r="B100" t="s">
        <v>44</v>
      </c>
      <c r="C100">
        <v>2019</v>
      </c>
      <c r="D100" t="s">
        <v>62</v>
      </c>
      <c r="E100">
        <v>144.19999999999999</v>
      </c>
    </row>
    <row r="101" spans="2:5" x14ac:dyDescent="0.3">
      <c r="B101" t="s">
        <v>45</v>
      </c>
      <c r="C101">
        <v>2019</v>
      </c>
      <c r="D101" t="s">
        <v>62</v>
      </c>
      <c r="E101">
        <v>145</v>
      </c>
    </row>
    <row r="102" spans="2:5" x14ac:dyDescent="0.3">
      <c r="B102" t="s">
        <v>41</v>
      </c>
      <c r="C102">
        <v>2019</v>
      </c>
      <c r="D102" t="s">
        <v>63</v>
      </c>
      <c r="E102">
        <v>146.69999999999999</v>
      </c>
    </row>
    <row r="103" spans="2:5" x14ac:dyDescent="0.3">
      <c r="B103" t="s">
        <v>44</v>
      </c>
      <c r="C103">
        <v>2019</v>
      </c>
      <c r="D103" t="s">
        <v>63</v>
      </c>
      <c r="E103">
        <v>144.69999999999999</v>
      </c>
    </row>
    <row r="104" spans="2:5" x14ac:dyDescent="0.3">
      <c r="B104" t="s">
        <v>45</v>
      </c>
      <c r="C104">
        <v>2019</v>
      </c>
      <c r="D104" t="s">
        <v>63</v>
      </c>
      <c r="E104">
        <v>145.80000000000001</v>
      </c>
    </row>
    <row r="105" spans="2:5" x14ac:dyDescent="0.3">
      <c r="B105" t="s">
        <v>41</v>
      </c>
      <c r="C105">
        <v>2019</v>
      </c>
      <c r="D105" t="s">
        <v>64</v>
      </c>
      <c r="E105">
        <v>148.30000000000001</v>
      </c>
    </row>
    <row r="106" spans="2:5" x14ac:dyDescent="0.3">
      <c r="B106" t="s">
        <v>44</v>
      </c>
      <c r="C106">
        <v>2019</v>
      </c>
      <c r="D106" t="s">
        <v>64</v>
      </c>
      <c r="E106">
        <v>146</v>
      </c>
    </row>
    <row r="107" spans="2:5" x14ac:dyDescent="0.3">
      <c r="B107" t="s">
        <v>45</v>
      </c>
      <c r="C107">
        <v>2019</v>
      </c>
      <c r="D107" t="s">
        <v>64</v>
      </c>
      <c r="E107">
        <v>147.19999999999999</v>
      </c>
    </row>
    <row r="108" spans="2:5" x14ac:dyDescent="0.3">
      <c r="B108" t="s">
        <v>41</v>
      </c>
      <c r="C108">
        <v>2019</v>
      </c>
      <c r="D108" t="s">
        <v>65</v>
      </c>
      <c r="E108">
        <v>149.9</v>
      </c>
    </row>
    <row r="109" spans="2:5" x14ac:dyDescent="0.3">
      <c r="B109" t="s">
        <v>44</v>
      </c>
      <c r="C109">
        <v>2019</v>
      </c>
      <c r="D109" t="s">
        <v>65</v>
      </c>
      <c r="E109">
        <v>147</v>
      </c>
    </row>
    <row r="110" spans="2:5" x14ac:dyDescent="0.3">
      <c r="B110" t="s">
        <v>45</v>
      </c>
      <c r="C110">
        <v>2019</v>
      </c>
      <c r="D110" t="s">
        <v>65</v>
      </c>
      <c r="E110">
        <v>148.6</v>
      </c>
    </row>
    <row r="111" spans="2:5" x14ac:dyDescent="0.3">
      <c r="B111" t="s">
        <v>41</v>
      </c>
      <c r="C111">
        <v>2019</v>
      </c>
      <c r="D111" t="s">
        <v>66</v>
      </c>
      <c r="E111">
        <v>152.30000000000001</v>
      </c>
    </row>
    <row r="112" spans="2:5" x14ac:dyDescent="0.3">
      <c r="B112" t="s">
        <v>44</v>
      </c>
      <c r="C112">
        <v>2019</v>
      </c>
      <c r="D112" t="s">
        <v>66</v>
      </c>
      <c r="E112">
        <v>148.30000000000001</v>
      </c>
    </row>
    <row r="113" spans="2:5" x14ac:dyDescent="0.3">
      <c r="B113" t="s">
        <v>45</v>
      </c>
      <c r="C113">
        <v>2019</v>
      </c>
      <c r="D113" t="s">
        <v>66</v>
      </c>
      <c r="E113">
        <v>150.4</v>
      </c>
    </row>
    <row r="114" spans="2:5" x14ac:dyDescent="0.3">
      <c r="B114" t="s">
        <v>41</v>
      </c>
      <c r="C114">
        <v>2020</v>
      </c>
      <c r="D114" t="s">
        <v>56</v>
      </c>
      <c r="E114">
        <v>151.9</v>
      </c>
    </row>
    <row r="115" spans="2:5" x14ac:dyDescent="0.3">
      <c r="B115" t="s">
        <v>44</v>
      </c>
      <c r="C115">
        <v>2020</v>
      </c>
      <c r="D115" t="s">
        <v>56</v>
      </c>
      <c r="E115">
        <v>148.19999999999999</v>
      </c>
    </row>
    <row r="116" spans="2:5" x14ac:dyDescent="0.3">
      <c r="B116" t="s">
        <v>45</v>
      </c>
      <c r="C116">
        <v>2020</v>
      </c>
      <c r="D116" t="s">
        <v>56</v>
      </c>
      <c r="E116">
        <v>150.19999999999999</v>
      </c>
    </row>
    <row r="117" spans="2:5" x14ac:dyDescent="0.3">
      <c r="B117" t="s">
        <v>41</v>
      </c>
      <c r="C117">
        <v>2020</v>
      </c>
      <c r="D117" t="s">
        <v>57</v>
      </c>
      <c r="E117">
        <v>150.4</v>
      </c>
    </row>
    <row r="118" spans="2:5" x14ac:dyDescent="0.3">
      <c r="B118" t="s">
        <v>44</v>
      </c>
      <c r="C118">
        <v>2020</v>
      </c>
      <c r="D118" t="s">
        <v>57</v>
      </c>
      <c r="E118">
        <v>147.69999999999999</v>
      </c>
    </row>
    <row r="119" spans="2:5" x14ac:dyDescent="0.3">
      <c r="B119" t="s">
        <v>45</v>
      </c>
      <c r="C119">
        <v>2020</v>
      </c>
      <c r="D119" t="s">
        <v>57</v>
      </c>
      <c r="E119">
        <v>149.1</v>
      </c>
    </row>
    <row r="120" spans="2:5" x14ac:dyDescent="0.3">
      <c r="B120" t="s">
        <v>41</v>
      </c>
      <c r="C120">
        <v>2020</v>
      </c>
      <c r="D120" t="s">
        <v>58</v>
      </c>
      <c r="E120">
        <v>149.80000000000001</v>
      </c>
    </row>
    <row r="121" spans="2:5" x14ac:dyDescent="0.3">
      <c r="B121" t="s">
        <v>44</v>
      </c>
      <c r="C121">
        <v>2020</v>
      </c>
      <c r="D121" t="s">
        <v>58</v>
      </c>
      <c r="E121">
        <v>147.30000000000001</v>
      </c>
    </row>
    <row r="122" spans="2:5" x14ac:dyDescent="0.3">
      <c r="B122" t="s">
        <v>45</v>
      </c>
      <c r="C122">
        <v>2020</v>
      </c>
      <c r="D122" t="s">
        <v>58</v>
      </c>
      <c r="E122">
        <v>148.6</v>
      </c>
    </row>
    <row r="123" spans="2:5" x14ac:dyDescent="0.3">
      <c r="B123" t="s">
        <v>41</v>
      </c>
      <c r="C123">
        <v>2020</v>
      </c>
      <c r="D123" t="s">
        <v>59</v>
      </c>
      <c r="E123" t="s">
        <v>67</v>
      </c>
    </row>
    <row r="124" spans="2:5" x14ac:dyDescent="0.3">
      <c r="B124" t="s">
        <v>44</v>
      </c>
      <c r="C124">
        <v>2020</v>
      </c>
      <c r="D124" t="s">
        <v>59</v>
      </c>
      <c r="E124" t="s">
        <v>67</v>
      </c>
    </row>
    <row r="125" spans="2:5" x14ac:dyDescent="0.3">
      <c r="B125" t="s">
        <v>45</v>
      </c>
      <c r="C125">
        <v>2020</v>
      </c>
      <c r="D125" t="s">
        <v>59</v>
      </c>
      <c r="E125" t="s">
        <v>67</v>
      </c>
    </row>
    <row r="126" spans="2:5" x14ac:dyDescent="0.3">
      <c r="B126" t="s">
        <v>41</v>
      </c>
      <c r="C126">
        <v>2020</v>
      </c>
      <c r="D126" t="s">
        <v>60</v>
      </c>
      <c r="E126">
        <v>152.69999999999999</v>
      </c>
    </row>
    <row r="127" spans="2:5" x14ac:dyDescent="0.3">
      <c r="B127" t="s">
        <v>44</v>
      </c>
      <c r="C127">
        <v>2020</v>
      </c>
      <c r="D127" t="s">
        <v>60</v>
      </c>
      <c r="E127">
        <v>150.80000000000001</v>
      </c>
    </row>
    <row r="128" spans="2:5" x14ac:dyDescent="0.3">
      <c r="B128" t="s">
        <v>45</v>
      </c>
      <c r="C128">
        <v>2020</v>
      </c>
      <c r="D128" t="s">
        <v>60</v>
      </c>
      <c r="E128">
        <v>151.80000000000001</v>
      </c>
    </row>
    <row r="129" spans="2:5" x14ac:dyDescent="0.3">
      <c r="B129" t="s">
        <v>41</v>
      </c>
      <c r="C129">
        <v>2020</v>
      </c>
      <c r="D129" t="s">
        <v>61</v>
      </c>
      <c r="E129">
        <v>152.69999999999999</v>
      </c>
    </row>
    <row r="130" spans="2:5" x14ac:dyDescent="0.3">
      <c r="B130" t="s">
        <v>44</v>
      </c>
      <c r="C130">
        <v>2020</v>
      </c>
      <c r="D130" t="s">
        <v>61</v>
      </c>
      <c r="E130">
        <v>150.80000000000001</v>
      </c>
    </row>
    <row r="131" spans="2:5" x14ac:dyDescent="0.3">
      <c r="B131" t="s">
        <v>45</v>
      </c>
      <c r="C131">
        <v>2020</v>
      </c>
      <c r="D131" t="s">
        <v>61</v>
      </c>
      <c r="E131">
        <v>151.80000000000001</v>
      </c>
    </row>
    <row r="132" spans="2:5" x14ac:dyDescent="0.3">
      <c r="B132" t="s">
        <v>41</v>
      </c>
      <c r="C132">
        <v>2020</v>
      </c>
      <c r="D132" t="s">
        <v>62</v>
      </c>
      <c r="E132">
        <v>154.69999999999999</v>
      </c>
    </row>
    <row r="133" spans="2:5" x14ac:dyDescent="0.3">
      <c r="B133" t="s">
        <v>44</v>
      </c>
      <c r="C133">
        <v>2020</v>
      </c>
      <c r="D133" t="s">
        <v>62</v>
      </c>
      <c r="E133">
        <v>152.9</v>
      </c>
    </row>
    <row r="134" spans="2:5" x14ac:dyDescent="0.3">
      <c r="B134" t="s">
        <v>45</v>
      </c>
      <c r="C134">
        <v>2020</v>
      </c>
      <c r="D134" t="s">
        <v>62</v>
      </c>
      <c r="E134">
        <v>153.9</v>
      </c>
    </row>
    <row r="135" spans="2:5" x14ac:dyDescent="0.3">
      <c r="B135" t="s">
        <v>41</v>
      </c>
      <c r="C135">
        <v>2020</v>
      </c>
      <c r="D135" t="s">
        <v>63</v>
      </c>
      <c r="E135">
        <v>155.4</v>
      </c>
    </row>
    <row r="136" spans="2:5" x14ac:dyDescent="0.3">
      <c r="B136" t="s">
        <v>44</v>
      </c>
      <c r="C136">
        <v>2020</v>
      </c>
      <c r="D136" t="s">
        <v>63</v>
      </c>
      <c r="E136">
        <v>154</v>
      </c>
    </row>
    <row r="137" spans="2:5" x14ac:dyDescent="0.3">
      <c r="B137" t="s">
        <v>45</v>
      </c>
      <c r="C137">
        <v>2020</v>
      </c>
      <c r="D137" t="s">
        <v>63</v>
      </c>
      <c r="E137">
        <v>154.69999999999999</v>
      </c>
    </row>
    <row r="138" spans="2:5" x14ac:dyDescent="0.3">
      <c r="B138" t="s">
        <v>41</v>
      </c>
      <c r="C138">
        <v>2020</v>
      </c>
      <c r="D138" t="s">
        <v>64</v>
      </c>
      <c r="E138">
        <v>157.5</v>
      </c>
    </row>
    <row r="139" spans="2:5" x14ac:dyDescent="0.3">
      <c r="B139" t="s">
        <v>44</v>
      </c>
      <c r="C139">
        <v>2020</v>
      </c>
      <c r="D139" t="s">
        <v>64</v>
      </c>
      <c r="E139">
        <v>155.19999999999999</v>
      </c>
    </row>
    <row r="140" spans="2:5" x14ac:dyDescent="0.3">
      <c r="B140" t="s">
        <v>45</v>
      </c>
      <c r="C140">
        <v>2020</v>
      </c>
      <c r="D140" t="s">
        <v>64</v>
      </c>
      <c r="E140">
        <v>156.4</v>
      </c>
    </row>
    <row r="141" spans="2:5" x14ac:dyDescent="0.3">
      <c r="B141" t="s">
        <v>41</v>
      </c>
      <c r="C141">
        <v>2020</v>
      </c>
      <c r="D141" t="s">
        <v>65</v>
      </c>
      <c r="E141">
        <v>159.80000000000001</v>
      </c>
    </row>
    <row r="142" spans="2:5" x14ac:dyDescent="0.3">
      <c r="B142" t="s">
        <v>44</v>
      </c>
      <c r="C142">
        <v>2020</v>
      </c>
      <c r="D142" t="s">
        <v>65</v>
      </c>
      <c r="E142">
        <v>156.69999999999999</v>
      </c>
    </row>
    <row r="143" spans="2:5" x14ac:dyDescent="0.3">
      <c r="B143" t="s">
        <v>45</v>
      </c>
      <c r="C143">
        <v>2020</v>
      </c>
      <c r="D143" t="s">
        <v>65</v>
      </c>
      <c r="E143">
        <v>158.4</v>
      </c>
    </row>
    <row r="144" spans="2:5" x14ac:dyDescent="0.3">
      <c r="B144" t="s">
        <v>41</v>
      </c>
      <c r="C144">
        <v>2020</v>
      </c>
      <c r="D144" t="s">
        <v>66</v>
      </c>
      <c r="E144">
        <v>160.69999999999999</v>
      </c>
    </row>
    <row r="145" spans="2:5" x14ac:dyDescent="0.3">
      <c r="B145" t="s">
        <v>44</v>
      </c>
      <c r="C145">
        <v>2020</v>
      </c>
      <c r="D145" t="s">
        <v>66</v>
      </c>
      <c r="E145">
        <v>156.9</v>
      </c>
    </row>
    <row r="146" spans="2:5" x14ac:dyDescent="0.3">
      <c r="B146" t="s">
        <v>45</v>
      </c>
      <c r="C146">
        <v>2020</v>
      </c>
      <c r="D146" t="s">
        <v>66</v>
      </c>
      <c r="E146">
        <v>158.9</v>
      </c>
    </row>
    <row r="147" spans="2:5" x14ac:dyDescent="0.3">
      <c r="B147" t="s">
        <v>41</v>
      </c>
      <c r="C147">
        <v>2021</v>
      </c>
      <c r="D147" t="s">
        <v>56</v>
      </c>
      <c r="E147">
        <v>158.5</v>
      </c>
    </row>
    <row r="148" spans="2:5" x14ac:dyDescent="0.3">
      <c r="B148" t="s">
        <v>44</v>
      </c>
      <c r="C148">
        <v>2021</v>
      </c>
      <c r="D148" t="s">
        <v>56</v>
      </c>
      <c r="E148">
        <v>156</v>
      </c>
    </row>
    <row r="149" spans="2:5" x14ac:dyDescent="0.3">
      <c r="B149" t="s">
        <v>45</v>
      </c>
      <c r="C149">
        <v>2021</v>
      </c>
      <c r="D149" t="s">
        <v>56</v>
      </c>
      <c r="E149">
        <v>157.30000000000001</v>
      </c>
    </row>
    <row r="150" spans="2:5" x14ac:dyDescent="0.3">
      <c r="B150" t="s">
        <v>41</v>
      </c>
      <c r="C150">
        <v>2021</v>
      </c>
      <c r="D150" t="s">
        <v>57</v>
      </c>
      <c r="E150">
        <v>156.69999999999999</v>
      </c>
    </row>
    <row r="151" spans="2:5" x14ac:dyDescent="0.3">
      <c r="B151" t="s">
        <v>44</v>
      </c>
      <c r="C151">
        <v>2021</v>
      </c>
      <c r="D151" t="s">
        <v>57</v>
      </c>
      <c r="E151">
        <v>156.5</v>
      </c>
    </row>
    <row r="152" spans="2:5" x14ac:dyDescent="0.3">
      <c r="B152" t="s">
        <v>45</v>
      </c>
      <c r="C152">
        <v>2021</v>
      </c>
      <c r="D152" t="s">
        <v>57</v>
      </c>
      <c r="E152">
        <v>156.6</v>
      </c>
    </row>
    <row r="153" spans="2:5" x14ac:dyDescent="0.3">
      <c r="B153" t="s">
        <v>41</v>
      </c>
      <c r="C153">
        <v>2021</v>
      </c>
      <c r="D153" t="s">
        <v>58</v>
      </c>
      <c r="E153">
        <v>156.69999999999999</v>
      </c>
    </row>
    <row r="154" spans="2:5" x14ac:dyDescent="0.3">
      <c r="B154" t="s">
        <v>44</v>
      </c>
      <c r="C154">
        <v>2021</v>
      </c>
      <c r="D154" t="s">
        <v>58</v>
      </c>
      <c r="E154">
        <v>156.9</v>
      </c>
    </row>
    <row r="155" spans="2:5" x14ac:dyDescent="0.3">
      <c r="B155" t="s">
        <v>45</v>
      </c>
      <c r="C155">
        <v>2021</v>
      </c>
      <c r="D155" t="s">
        <v>58</v>
      </c>
      <c r="E155">
        <v>156.80000000000001</v>
      </c>
    </row>
    <row r="156" spans="2:5" x14ac:dyDescent="0.3">
      <c r="B156" t="s">
        <v>41</v>
      </c>
      <c r="C156">
        <v>2021</v>
      </c>
      <c r="D156" t="s">
        <v>59</v>
      </c>
      <c r="E156">
        <v>157.6</v>
      </c>
    </row>
    <row r="157" spans="2:5" x14ac:dyDescent="0.3">
      <c r="B157" t="s">
        <v>44</v>
      </c>
      <c r="C157">
        <v>2021</v>
      </c>
      <c r="D157" t="s">
        <v>59</v>
      </c>
      <c r="E157">
        <v>158</v>
      </c>
    </row>
    <row r="158" spans="2:5" x14ac:dyDescent="0.3">
      <c r="B158" t="s">
        <v>45</v>
      </c>
      <c r="C158">
        <v>2021</v>
      </c>
      <c r="D158" t="s">
        <v>59</v>
      </c>
      <c r="E158">
        <v>157.80000000000001</v>
      </c>
    </row>
    <row r="159" spans="2:5" x14ac:dyDescent="0.3">
      <c r="B159" t="s">
        <v>41</v>
      </c>
      <c r="C159">
        <v>2021</v>
      </c>
      <c r="D159" t="s">
        <v>42</v>
      </c>
      <c r="E159">
        <v>161.1</v>
      </c>
    </row>
    <row r="160" spans="2:5" x14ac:dyDescent="0.3">
      <c r="B160" t="s">
        <v>44</v>
      </c>
      <c r="C160">
        <v>2021</v>
      </c>
      <c r="D160" t="s">
        <v>42</v>
      </c>
      <c r="E160">
        <v>159.5</v>
      </c>
    </row>
    <row r="161" spans="2:5" x14ac:dyDescent="0.3">
      <c r="B161" t="s">
        <v>45</v>
      </c>
      <c r="C161">
        <v>2021</v>
      </c>
      <c r="D161" t="s">
        <v>42</v>
      </c>
      <c r="E161">
        <v>160.4</v>
      </c>
    </row>
    <row r="162" spans="2:5" x14ac:dyDescent="0.3">
      <c r="B162" t="s">
        <v>41</v>
      </c>
      <c r="C162">
        <v>2021</v>
      </c>
      <c r="D162" t="s">
        <v>60</v>
      </c>
      <c r="E162">
        <v>162.1</v>
      </c>
    </row>
    <row r="163" spans="2:5" x14ac:dyDescent="0.3">
      <c r="B163" t="s">
        <v>44</v>
      </c>
      <c r="C163">
        <v>2021</v>
      </c>
      <c r="D163" t="s">
        <v>60</v>
      </c>
      <c r="E163">
        <v>160.4</v>
      </c>
    </row>
    <row r="164" spans="2:5" x14ac:dyDescent="0.3">
      <c r="B164" t="s">
        <v>45</v>
      </c>
      <c r="C164">
        <v>2021</v>
      </c>
      <c r="D164" t="s">
        <v>60</v>
      </c>
      <c r="E164">
        <v>161.30000000000001</v>
      </c>
    </row>
    <row r="165" spans="2:5" x14ac:dyDescent="0.3">
      <c r="B165" t="s">
        <v>41</v>
      </c>
      <c r="C165">
        <v>2021</v>
      </c>
      <c r="D165" t="s">
        <v>61</v>
      </c>
      <c r="E165">
        <v>163.19999999999999</v>
      </c>
    </row>
    <row r="166" spans="2:5" x14ac:dyDescent="0.3">
      <c r="B166" t="s">
        <v>44</v>
      </c>
      <c r="C166">
        <v>2021</v>
      </c>
      <c r="D166" t="s">
        <v>61</v>
      </c>
      <c r="E166">
        <v>161.80000000000001</v>
      </c>
    </row>
    <row r="167" spans="2:5" x14ac:dyDescent="0.3">
      <c r="B167" t="s">
        <v>45</v>
      </c>
      <c r="C167">
        <v>2021</v>
      </c>
      <c r="D167" t="s">
        <v>61</v>
      </c>
      <c r="E167">
        <v>162.5</v>
      </c>
    </row>
    <row r="168" spans="2:5" x14ac:dyDescent="0.3">
      <c r="B168" t="s">
        <v>41</v>
      </c>
      <c r="C168">
        <v>2021</v>
      </c>
      <c r="D168" t="s">
        <v>62</v>
      </c>
      <c r="E168">
        <v>163.6</v>
      </c>
    </row>
    <row r="169" spans="2:5" x14ac:dyDescent="0.3">
      <c r="B169" t="s">
        <v>44</v>
      </c>
      <c r="C169">
        <v>2021</v>
      </c>
      <c r="D169" t="s">
        <v>62</v>
      </c>
      <c r="E169">
        <v>162.30000000000001</v>
      </c>
    </row>
    <row r="170" spans="2:5" x14ac:dyDescent="0.3">
      <c r="B170" t="s">
        <v>45</v>
      </c>
      <c r="C170">
        <v>2021</v>
      </c>
      <c r="D170" t="s">
        <v>62</v>
      </c>
      <c r="E170">
        <v>163.19999999999999</v>
      </c>
    </row>
    <row r="171" spans="2:5" x14ac:dyDescent="0.3">
      <c r="B171" t="s">
        <v>41</v>
      </c>
      <c r="C171">
        <v>2021</v>
      </c>
      <c r="D171" t="s">
        <v>63</v>
      </c>
      <c r="E171">
        <v>164</v>
      </c>
    </row>
    <row r="172" spans="2:5" x14ac:dyDescent="0.3">
      <c r="B172" t="s">
        <v>44</v>
      </c>
      <c r="C172">
        <v>2021</v>
      </c>
      <c r="D172" t="s">
        <v>63</v>
      </c>
      <c r="E172">
        <v>162.30000000000001</v>
      </c>
    </row>
    <row r="173" spans="2:5" x14ac:dyDescent="0.3">
      <c r="B173" t="s">
        <v>45</v>
      </c>
      <c r="C173">
        <v>2021</v>
      </c>
      <c r="D173" t="s">
        <v>63</v>
      </c>
      <c r="E173">
        <v>163.19999999999999</v>
      </c>
    </row>
    <row r="174" spans="2:5" x14ac:dyDescent="0.3">
      <c r="B174" t="s">
        <v>41</v>
      </c>
      <c r="C174">
        <v>2021</v>
      </c>
      <c r="D174" t="s">
        <v>64</v>
      </c>
      <c r="E174">
        <v>166.3</v>
      </c>
    </row>
    <row r="175" spans="2:5" x14ac:dyDescent="0.3">
      <c r="B175" t="s">
        <v>44</v>
      </c>
      <c r="C175">
        <v>2021</v>
      </c>
      <c r="D175" t="s">
        <v>64</v>
      </c>
      <c r="E175">
        <v>164.6</v>
      </c>
    </row>
    <row r="176" spans="2:5" x14ac:dyDescent="0.3">
      <c r="B176" t="s">
        <v>45</v>
      </c>
      <c r="C176">
        <v>2021</v>
      </c>
      <c r="D176" t="s">
        <v>64</v>
      </c>
      <c r="E176">
        <v>165.5</v>
      </c>
    </row>
    <row r="177" spans="2:5" x14ac:dyDescent="0.3">
      <c r="B177" t="s">
        <v>41</v>
      </c>
      <c r="C177">
        <v>2021</v>
      </c>
      <c r="D177" t="s">
        <v>65</v>
      </c>
      <c r="E177">
        <v>167.6</v>
      </c>
    </row>
    <row r="178" spans="2:5" x14ac:dyDescent="0.3">
      <c r="B178" t="s">
        <v>44</v>
      </c>
      <c r="C178">
        <v>2021</v>
      </c>
      <c r="D178" t="s">
        <v>65</v>
      </c>
      <c r="E178">
        <v>165.6</v>
      </c>
    </row>
    <row r="179" spans="2:5" x14ac:dyDescent="0.3">
      <c r="B179" t="s">
        <v>45</v>
      </c>
      <c r="C179">
        <v>2021</v>
      </c>
      <c r="D179" t="s">
        <v>65</v>
      </c>
      <c r="E179">
        <v>166.7</v>
      </c>
    </row>
    <row r="180" spans="2:5" x14ac:dyDescent="0.3">
      <c r="B180" t="s">
        <v>41</v>
      </c>
      <c r="C180">
        <v>2021</v>
      </c>
      <c r="D180" t="s">
        <v>66</v>
      </c>
      <c r="E180">
        <v>167</v>
      </c>
    </row>
    <row r="181" spans="2:5" x14ac:dyDescent="0.3">
      <c r="B181" t="s">
        <v>44</v>
      </c>
      <c r="C181">
        <v>2021</v>
      </c>
      <c r="D181" t="s">
        <v>66</v>
      </c>
      <c r="E181">
        <v>165.2</v>
      </c>
    </row>
    <row r="182" spans="2:5" x14ac:dyDescent="0.3">
      <c r="B182" t="s">
        <v>45</v>
      </c>
      <c r="C182">
        <v>2021</v>
      </c>
      <c r="D182" t="s">
        <v>66</v>
      </c>
      <c r="E182">
        <v>166.2</v>
      </c>
    </row>
    <row r="183" spans="2:5" x14ac:dyDescent="0.3">
      <c r="B183" t="s">
        <v>41</v>
      </c>
      <c r="C183">
        <v>2022</v>
      </c>
      <c r="D183" t="s">
        <v>56</v>
      </c>
      <c r="E183">
        <v>166.4</v>
      </c>
    </row>
    <row r="184" spans="2:5" x14ac:dyDescent="0.3">
      <c r="B184" t="s">
        <v>44</v>
      </c>
      <c r="C184">
        <v>2022</v>
      </c>
      <c r="D184" t="s">
        <v>56</v>
      </c>
      <c r="E184">
        <v>165</v>
      </c>
    </row>
    <row r="185" spans="2:5" x14ac:dyDescent="0.3">
      <c r="B185" t="s">
        <v>45</v>
      </c>
      <c r="C185">
        <v>2022</v>
      </c>
      <c r="D185" t="s">
        <v>56</v>
      </c>
      <c r="E185">
        <v>165.7</v>
      </c>
    </row>
    <row r="186" spans="2:5" x14ac:dyDescent="0.3">
      <c r="B186" t="s">
        <v>41</v>
      </c>
      <c r="C186">
        <v>2022</v>
      </c>
      <c r="D186" t="s">
        <v>57</v>
      </c>
      <c r="E186">
        <v>166.7</v>
      </c>
    </row>
    <row r="187" spans="2:5" x14ac:dyDescent="0.3">
      <c r="B187" t="s">
        <v>44</v>
      </c>
      <c r="C187">
        <v>2022</v>
      </c>
      <c r="D187" t="s">
        <v>57</v>
      </c>
      <c r="E187">
        <v>165.5</v>
      </c>
    </row>
    <row r="188" spans="2:5" x14ac:dyDescent="0.3">
      <c r="B188" t="s">
        <v>45</v>
      </c>
      <c r="C188">
        <v>2022</v>
      </c>
      <c r="D188" t="s">
        <v>57</v>
      </c>
      <c r="E188">
        <v>166.1</v>
      </c>
    </row>
    <row r="189" spans="2:5" x14ac:dyDescent="0.3">
      <c r="B189" t="s">
        <v>41</v>
      </c>
      <c r="C189">
        <v>2022</v>
      </c>
      <c r="D189" t="s">
        <v>58</v>
      </c>
      <c r="E189">
        <v>168.7</v>
      </c>
    </row>
    <row r="190" spans="2:5" x14ac:dyDescent="0.3">
      <c r="B190" t="s">
        <v>44</v>
      </c>
      <c r="C190">
        <v>2022</v>
      </c>
      <c r="D190" t="s">
        <v>58</v>
      </c>
      <c r="E190">
        <v>166.5</v>
      </c>
    </row>
    <row r="191" spans="2:5" x14ac:dyDescent="0.3">
      <c r="B191" t="s">
        <v>45</v>
      </c>
      <c r="C191">
        <v>2022</v>
      </c>
      <c r="D191" t="s">
        <v>58</v>
      </c>
      <c r="E191">
        <v>167.7</v>
      </c>
    </row>
    <row r="192" spans="2:5" x14ac:dyDescent="0.3">
      <c r="B192" t="s">
        <v>41</v>
      </c>
      <c r="C192">
        <v>2022</v>
      </c>
      <c r="D192" t="s">
        <v>59</v>
      </c>
      <c r="E192">
        <v>170.8</v>
      </c>
    </row>
    <row r="193" spans="2:5" x14ac:dyDescent="0.3">
      <c r="B193" t="s">
        <v>44</v>
      </c>
      <c r="C193">
        <v>2022</v>
      </c>
      <c r="D193" t="s">
        <v>59</v>
      </c>
      <c r="E193">
        <v>169.2</v>
      </c>
    </row>
    <row r="194" spans="2:5" x14ac:dyDescent="0.3">
      <c r="B194" t="s">
        <v>45</v>
      </c>
      <c r="C194">
        <v>2022</v>
      </c>
      <c r="D194" t="s">
        <v>59</v>
      </c>
      <c r="E194">
        <v>170.1</v>
      </c>
    </row>
    <row r="195" spans="2:5" x14ac:dyDescent="0.3">
      <c r="B195" t="s">
        <v>41</v>
      </c>
      <c r="C195">
        <v>2022</v>
      </c>
      <c r="D195" t="s">
        <v>42</v>
      </c>
      <c r="E195">
        <v>172.5</v>
      </c>
    </row>
    <row r="196" spans="2:5" x14ac:dyDescent="0.3">
      <c r="B196" t="s">
        <v>44</v>
      </c>
      <c r="C196">
        <v>2022</v>
      </c>
      <c r="D196" t="s">
        <v>42</v>
      </c>
      <c r="E196">
        <v>170.8</v>
      </c>
    </row>
    <row r="197" spans="2:5" x14ac:dyDescent="0.3">
      <c r="B197" t="s">
        <v>45</v>
      </c>
      <c r="C197">
        <v>2022</v>
      </c>
      <c r="D197" t="s">
        <v>42</v>
      </c>
      <c r="E197">
        <v>171.7</v>
      </c>
    </row>
    <row r="198" spans="2:5" x14ac:dyDescent="0.3">
      <c r="B198" t="s">
        <v>41</v>
      </c>
      <c r="C198">
        <v>2022</v>
      </c>
      <c r="D198" t="s">
        <v>60</v>
      </c>
      <c r="E198">
        <v>173.6</v>
      </c>
    </row>
    <row r="199" spans="2:5" x14ac:dyDescent="0.3">
      <c r="B199" t="s">
        <v>44</v>
      </c>
      <c r="C199">
        <v>2022</v>
      </c>
      <c r="D199" t="s">
        <v>60</v>
      </c>
      <c r="E199">
        <v>171.4</v>
      </c>
    </row>
    <row r="200" spans="2:5" x14ac:dyDescent="0.3">
      <c r="B200" t="s">
        <v>45</v>
      </c>
      <c r="C200">
        <v>2022</v>
      </c>
      <c r="D200" t="s">
        <v>60</v>
      </c>
      <c r="E200">
        <v>172.6</v>
      </c>
    </row>
    <row r="201" spans="2:5" x14ac:dyDescent="0.3">
      <c r="B201" t="s">
        <v>41</v>
      </c>
      <c r="C201">
        <v>2022</v>
      </c>
      <c r="D201" t="s">
        <v>61</v>
      </c>
      <c r="E201">
        <v>174.3</v>
      </c>
    </row>
    <row r="202" spans="2:5" x14ac:dyDescent="0.3">
      <c r="B202" t="s">
        <v>44</v>
      </c>
      <c r="C202">
        <v>2022</v>
      </c>
      <c r="D202" t="s">
        <v>61</v>
      </c>
      <c r="E202">
        <v>172.3</v>
      </c>
    </row>
    <row r="203" spans="2:5" x14ac:dyDescent="0.3">
      <c r="B203" t="s">
        <v>45</v>
      </c>
      <c r="C203">
        <v>2022</v>
      </c>
      <c r="D203" t="s">
        <v>61</v>
      </c>
      <c r="E203">
        <v>173.4</v>
      </c>
    </row>
    <row r="204" spans="2:5" x14ac:dyDescent="0.3">
      <c r="B204" t="s">
        <v>41</v>
      </c>
      <c r="C204">
        <v>2022</v>
      </c>
      <c r="D204" t="s">
        <v>62</v>
      </c>
      <c r="E204">
        <v>175.3</v>
      </c>
    </row>
    <row r="205" spans="2:5" x14ac:dyDescent="0.3">
      <c r="B205" t="s">
        <v>44</v>
      </c>
      <c r="C205">
        <v>2022</v>
      </c>
      <c r="D205" t="s">
        <v>62</v>
      </c>
      <c r="E205">
        <v>173.1</v>
      </c>
    </row>
    <row r="206" spans="2:5" x14ac:dyDescent="0.3">
      <c r="B206" t="s">
        <v>45</v>
      </c>
      <c r="C206">
        <v>2022</v>
      </c>
      <c r="D206" t="s">
        <v>62</v>
      </c>
      <c r="E206">
        <v>174.3</v>
      </c>
    </row>
    <row r="207" spans="2:5" x14ac:dyDescent="0.3">
      <c r="B207" t="s">
        <v>41</v>
      </c>
      <c r="C207">
        <v>2022</v>
      </c>
      <c r="D207" t="s">
        <v>63</v>
      </c>
      <c r="E207">
        <v>176.4</v>
      </c>
    </row>
    <row r="208" spans="2:5" x14ac:dyDescent="0.3">
      <c r="B208" t="s">
        <v>44</v>
      </c>
      <c r="C208">
        <v>2022</v>
      </c>
      <c r="D208" t="s">
        <v>63</v>
      </c>
      <c r="E208">
        <v>174.1</v>
      </c>
    </row>
    <row r="209" spans="2:5" x14ac:dyDescent="0.3">
      <c r="B209" t="s">
        <v>45</v>
      </c>
      <c r="C209">
        <v>2022</v>
      </c>
      <c r="D209" t="s">
        <v>63</v>
      </c>
      <c r="E209">
        <v>175.3</v>
      </c>
    </row>
    <row r="210" spans="2:5" x14ac:dyDescent="0.3">
      <c r="B210" t="s">
        <v>41</v>
      </c>
      <c r="C210">
        <v>2022</v>
      </c>
      <c r="D210" t="s">
        <v>64</v>
      </c>
      <c r="E210">
        <v>177.9</v>
      </c>
    </row>
    <row r="211" spans="2:5" x14ac:dyDescent="0.3">
      <c r="B211" t="s">
        <v>44</v>
      </c>
      <c r="C211">
        <v>2022</v>
      </c>
      <c r="D211" t="s">
        <v>64</v>
      </c>
      <c r="E211">
        <v>175.3</v>
      </c>
    </row>
    <row r="212" spans="2:5" x14ac:dyDescent="0.3">
      <c r="B212" t="s">
        <v>45</v>
      </c>
      <c r="C212">
        <v>2022</v>
      </c>
      <c r="D212" t="s">
        <v>64</v>
      </c>
      <c r="E212">
        <v>176.7</v>
      </c>
    </row>
    <row r="213" spans="2:5" x14ac:dyDescent="0.3">
      <c r="B213" t="s">
        <v>41</v>
      </c>
      <c r="C213">
        <v>2022</v>
      </c>
      <c r="D213" t="s">
        <v>65</v>
      </c>
      <c r="E213">
        <v>177.8</v>
      </c>
    </row>
    <row r="214" spans="2:5" x14ac:dyDescent="0.3">
      <c r="B214" t="s">
        <v>44</v>
      </c>
      <c r="C214">
        <v>2022</v>
      </c>
      <c r="D214" t="s">
        <v>65</v>
      </c>
      <c r="E214">
        <v>174.1</v>
      </c>
    </row>
    <row r="215" spans="2:5" x14ac:dyDescent="0.3">
      <c r="B215" t="s">
        <v>45</v>
      </c>
      <c r="C215">
        <v>2022</v>
      </c>
      <c r="D215" t="s">
        <v>65</v>
      </c>
      <c r="E215">
        <v>176.5</v>
      </c>
    </row>
    <row r="216" spans="2:5" x14ac:dyDescent="0.3">
      <c r="B216" t="s">
        <v>41</v>
      </c>
      <c r="C216">
        <v>2022</v>
      </c>
      <c r="D216" t="s">
        <v>66</v>
      </c>
      <c r="E216">
        <v>177.1</v>
      </c>
    </row>
    <row r="217" spans="2:5" x14ac:dyDescent="0.3">
      <c r="B217" t="s">
        <v>44</v>
      </c>
      <c r="C217">
        <v>2022</v>
      </c>
      <c r="D217" t="s">
        <v>66</v>
      </c>
      <c r="E217">
        <v>174.1</v>
      </c>
    </row>
    <row r="218" spans="2:5" x14ac:dyDescent="0.3">
      <c r="B218" t="s">
        <v>45</v>
      </c>
      <c r="C218">
        <v>2022</v>
      </c>
      <c r="D218" t="s">
        <v>66</v>
      </c>
      <c r="E218">
        <v>175.7</v>
      </c>
    </row>
    <row r="219" spans="2:5" x14ac:dyDescent="0.3">
      <c r="B219" t="s">
        <v>41</v>
      </c>
      <c r="C219">
        <v>2023</v>
      </c>
      <c r="D219" t="s">
        <v>56</v>
      </c>
      <c r="E219">
        <v>177.8</v>
      </c>
    </row>
    <row r="220" spans="2:5" x14ac:dyDescent="0.3">
      <c r="B220" t="s">
        <v>44</v>
      </c>
      <c r="C220">
        <v>2023</v>
      </c>
      <c r="D220" t="s">
        <v>56</v>
      </c>
      <c r="E220">
        <v>174.9</v>
      </c>
    </row>
    <row r="221" spans="2:5" x14ac:dyDescent="0.3">
      <c r="B221" t="s">
        <v>45</v>
      </c>
      <c r="C221">
        <v>2023</v>
      </c>
      <c r="D221" t="s">
        <v>56</v>
      </c>
      <c r="E221">
        <v>176.5</v>
      </c>
    </row>
    <row r="222" spans="2:5" x14ac:dyDescent="0.3">
      <c r="B222" t="s">
        <v>41</v>
      </c>
      <c r="C222">
        <v>2023</v>
      </c>
      <c r="D222" t="s">
        <v>57</v>
      </c>
      <c r="E222">
        <v>178</v>
      </c>
    </row>
    <row r="223" spans="2:5" x14ac:dyDescent="0.3">
      <c r="B223" t="s">
        <v>44</v>
      </c>
      <c r="C223">
        <v>2023</v>
      </c>
      <c r="D223" t="s">
        <v>57</v>
      </c>
      <c r="E223">
        <v>176.3</v>
      </c>
    </row>
    <row r="224" spans="2:5" x14ac:dyDescent="0.3">
      <c r="B224" t="s">
        <v>45</v>
      </c>
      <c r="C224">
        <v>2023</v>
      </c>
      <c r="D224" t="s">
        <v>57</v>
      </c>
      <c r="E224">
        <v>177.2</v>
      </c>
    </row>
    <row r="225" spans="2:5" x14ac:dyDescent="0.3">
      <c r="B225" t="s">
        <v>41</v>
      </c>
      <c r="C225">
        <v>2023</v>
      </c>
      <c r="D225" t="s">
        <v>58</v>
      </c>
      <c r="E225">
        <v>178</v>
      </c>
    </row>
    <row r="226" spans="2:5" x14ac:dyDescent="0.3">
      <c r="B226" t="s">
        <v>44</v>
      </c>
      <c r="C226">
        <v>2023</v>
      </c>
      <c r="D226" t="s">
        <v>58</v>
      </c>
      <c r="E226">
        <v>176.3</v>
      </c>
    </row>
    <row r="227" spans="2:5" x14ac:dyDescent="0.3">
      <c r="B227" t="s">
        <v>45</v>
      </c>
      <c r="C227">
        <v>2023</v>
      </c>
      <c r="D227" t="s">
        <v>58</v>
      </c>
      <c r="E227">
        <v>177.2</v>
      </c>
    </row>
    <row r="228" spans="2:5" x14ac:dyDescent="0.3">
      <c r="B228" t="s">
        <v>41</v>
      </c>
      <c r="C228">
        <v>2023</v>
      </c>
      <c r="D228" t="s">
        <v>59</v>
      </c>
      <c r="E228">
        <v>178.8</v>
      </c>
    </row>
    <row r="229" spans="2:5" x14ac:dyDescent="0.3">
      <c r="B229" t="s">
        <v>44</v>
      </c>
      <c r="C229">
        <v>2023</v>
      </c>
      <c r="D229" t="s">
        <v>59</v>
      </c>
      <c r="E229">
        <v>177.4</v>
      </c>
    </row>
    <row r="230" spans="2:5" x14ac:dyDescent="0.3">
      <c r="B230" t="s">
        <v>45</v>
      </c>
      <c r="C230">
        <v>2023</v>
      </c>
      <c r="D230" t="s">
        <v>59</v>
      </c>
      <c r="E230">
        <v>178.1</v>
      </c>
    </row>
    <row r="231" spans="2:5" x14ac:dyDescent="0.3">
      <c r="B231" t="s">
        <v>41</v>
      </c>
      <c r="C231">
        <v>2023</v>
      </c>
      <c r="D231" t="s">
        <v>42</v>
      </c>
      <c r="E231">
        <v>179.8</v>
      </c>
    </row>
    <row r="232" spans="2:5" x14ac:dyDescent="0.3">
      <c r="B232" t="s">
        <v>44</v>
      </c>
      <c r="C232">
        <v>2023</v>
      </c>
      <c r="D232" t="s">
        <v>42</v>
      </c>
      <c r="E232">
        <v>178.2</v>
      </c>
    </row>
    <row r="233" spans="2:5" x14ac:dyDescent="0.3">
      <c r="B233" t="s">
        <v>45</v>
      </c>
      <c r="C233">
        <v>2023</v>
      </c>
      <c r="D233" t="s">
        <v>42</v>
      </c>
      <c r="E233">
        <v>179.1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FC708-16B4-4A46-AD29-CFD22C8E574A}">
  <dimension ref="A3:AK61"/>
  <sheetViews>
    <sheetView topLeftCell="C3" zoomScale="84" workbookViewId="0">
      <selection activeCell="G11" sqref="G11"/>
    </sheetView>
  </sheetViews>
  <sheetFormatPr defaultRowHeight="14.4" x14ac:dyDescent="0.3"/>
  <cols>
    <col min="5" max="5" width="13.77734375" customWidth="1"/>
    <col min="6" max="6" width="11.109375" customWidth="1"/>
    <col min="7" max="7" width="17.6640625" customWidth="1"/>
  </cols>
  <sheetData>
    <row r="3" spans="1:33" ht="23.4" x14ac:dyDescent="0.45">
      <c r="A3" s="57" t="s">
        <v>75</v>
      </c>
      <c r="B3" s="10" t="s">
        <v>76</v>
      </c>
      <c r="C3" s="10"/>
      <c r="D3" s="10"/>
      <c r="E3" s="10"/>
      <c r="F3" s="10"/>
      <c r="G3" s="10"/>
      <c r="H3" s="10"/>
      <c r="I3" s="10"/>
      <c r="J3" s="1"/>
    </row>
    <row r="8" spans="1:33" x14ac:dyDescent="0.3">
      <c r="B8" t="s">
        <v>77</v>
      </c>
    </row>
    <row r="10" spans="1:33" x14ac:dyDescent="0.3">
      <c r="B10" s="6" t="s">
        <v>37</v>
      </c>
      <c r="C10" s="6" t="s">
        <v>38</v>
      </c>
      <c r="D10" s="6" t="s">
        <v>39</v>
      </c>
      <c r="E10" s="14" t="s">
        <v>131</v>
      </c>
      <c r="F10" s="14" t="s">
        <v>12</v>
      </c>
      <c r="G10" s="6" t="s">
        <v>79</v>
      </c>
    </row>
    <row r="11" spans="1:33" x14ac:dyDescent="0.3">
      <c r="B11" t="s">
        <v>41</v>
      </c>
      <c r="C11">
        <v>2022</v>
      </c>
      <c r="D11" t="s">
        <v>56</v>
      </c>
      <c r="E11">
        <v>1107.9000000000001</v>
      </c>
      <c r="F11">
        <v>1045.0999999999999</v>
      </c>
      <c r="G11" s="58">
        <f>SUM(E11,F11)</f>
        <v>2153</v>
      </c>
    </row>
    <row r="12" spans="1:33" x14ac:dyDescent="0.3">
      <c r="B12" t="s">
        <v>44</v>
      </c>
      <c r="C12">
        <v>2022</v>
      </c>
      <c r="D12" t="s">
        <v>56</v>
      </c>
      <c r="E12">
        <v>1138.1999999999998</v>
      </c>
      <c r="F12">
        <v>1048.5</v>
      </c>
      <c r="G12">
        <f>SUM(E12,F12)</f>
        <v>2186.6999999999998</v>
      </c>
    </row>
    <row r="13" spans="1:33" x14ac:dyDescent="0.3">
      <c r="B13" t="s">
        <v>45</v>
      </c>
      <c r="C13">
        <v>2022</v>
      </c>
      <c r="D13" t="s">
        <v>56</v>
      </c>
      <c r="E13">
        <v>1118.2</v>
      </c>
      <c r="F13">
        <v>1046</v>
      </c>
      <c r="G13">
        <f t="shared" ref="G13:G61" si="0">SUM(E13,F13)</f>
        <v>2164.1999999999998</v>
      </c>
      <c r="I13" s="1" t="s">
        <v>80</v>
      </c>
      <c r="J13" s="1" t="s">
        <v>81</v>
      </c>
      <c r="K13" s="1"/>
      <c r="L13" s="1"/>
      <c r="M13" s="1"/>
      <c r="N13" s="1"/>
      <c r="O13" s="1"/>
      <c r="P13" s="1"/>
    </row>
    <row r="14" spans="1:33" x14ac:dyDescent="0.3">
      <c r="B14" t="s">
        <v>41</v>
      </c>
      <c r="C14">
        <v>2022</v>
      </c>
      <c r="D14" t="s">
        <v>57</v>
      </c>
      <c r="E14">
        <v>1105.4000000000001</v>
      </c>
      <c r="F14">
        <v>1045</v>
      </c>
      <c r="G14">
        <f t="shared" si="0"/>
        <v>2150.4</v>
      </c>
    </row>
    <row r="15" spans="1:33" x14ac:dyDescent="0.3">
      <c r="B15" t="s">
        <v>44</v>
      </c>
      <c r="C15">
        <v>2022</v>
      </c>
      <c r="D15" t="s">
        <v>57</v>
      </c>
      <c r="E15">
        <v>1134.3999999999999</v>
      </c>
      <c r="F15">
        <v>1049.1000000000001</v>
      </c>
      <c r="G15">
        <f t="shared" si="0"/>
        <v>2183.5</v>
      </c>
      <c r="R15" s="1" t="s">
        <v>138</v>
      </c>
      <c r="S15" s="1"/>
      <c r="AF15" s="1" t="s">
        <v>139</v>
      </c>
      <c r="AG15" s="1"/>
    </row>
    <row r="16" spans="1:33" x14ac:dyDescent="0.3">
      <c r="B16" t="s">
        <v>45</v>
      </c>
      <c r="C16">
        <v>2022</v>
      </c>
      <c r="D16" t="s">
        <v>57</v>
      </c>
      <c r="E16">
        <v>1115.2</v>
      </c>
      <c r="F16">
        <v>1046</v>
      </c>
      <c r="G16">
        <f t="shared" si="0"/>
        <v>2161.1999999999998</v>
      </c>
    </row>
    <row r="17" spans="2:13" x14ac:dyDescent="0.3">
      <c r="B17" t="s">
        <v>41</v>
      </c>
      <c r="C17">
        <v>2022</v>
      </c>
      <c r="D17" t="s">
        <v>58</v>
      </c>
      <c r="E17">
        <v>1126</v>
      </c>
      <c r="F17">
        <v>1053.0999999999999</v>
      </c>
      <c r="G17">
        <f t="shared" si="0"/>
        <v>2179.1</v>
      </c>
    </row>
    <row r="18" spans="2:13" x14ac:dyDescent="0.3">
      <c r="B18" t="s">
        <v>44</v>
      </c>
      <c r="C18">
        <v>2022</v>
      </c>
      <c r="D18" t="s">
        <v>58</v>
      </c>
      <c r="E18">
        <v>1140.0999999999999</v>
      </c>
      <c r="F18">
        <v>1056.2</v>
      </c>
      <c r="G18">
        <f t="shared" si="0"/>
        <v>2196.3000000000002</v>
      </c>
    </row>
    <row r="19" spans="2:13" x14ac:dyDescent="0.3">
      <c r="B19" t="s">
        <v>45</v>
      </c>
      <c r="C19">
        <v>2022</v>
      </c>
      <c r="D19" t="s">
        <v>58</v>
      </c>
      <c r="E19">
        <v>1130.5</v>
      </c>
      <c r="F19">
        <v>1053.7</v>
      </c>
      <c r="G19">
        <f t="shared" si="0"/>
        <v>2184.1999999999998</v>
      </c>
    </row>
    <row r="20" spans="2:13" x14ac:dyDescent="0.3">
      <c r="B20" t="s">
        <v>41</v>
      </c>
      <c r="C20">
        <v>2022</v>
      </c>
      <c r="D20" t="s">
        <v>59</v>
      </c>
      <c r="E20">
        <v>1148.7000000000003</v>
      </c>
      <c r="F20">
        <v>1057.8999999999999</v>
      </c>
      <c r="G20">
        <f t="shared" si="0"/>
        <v>2206.6000000000004</v>
      </c>
      <c r="I20" s="4"/>
      <c r="J20" s="4"/>
      <c r="K20" s="5" t="s">
        <v>82</v>
      </c>
      <c r="L20" s="5" t="s">
        <v>83</v>
      </c>
      <c r="M20" s="5" t="s">
        <v>84</v>
      </c>
    </row>
    <row r="21" spans="2:13" x14ac:dyDescent="0.3">
      <c r="B21" t="s">
        <v>44</v>
      </c>
      <c r="C21">
        <v>2022</v>
      </c>
      <c r="D21" t="s">
        <v>59</v>
      </c>
      <c r="E21">
        <v>1170.5</v>
      </c>
      <c r="F21">
        <v>1059.8999999999999</v>
      </c>
      <c r="G21">
        <f t="shared" si="0"/>
        <v>2230.3999999999996</v>
      </c>
      <c r="I21" s="4">
        <v>2022</v>
      </c>
      <c r="J21" s="4" t="s">
        <v>60</v>
      </c>
      <c r="K21" s="15">
        <f>((G26-G23)/G23*100)</f>
        <v>0.96551104724268</v>
      </c>
      <c r="L21" s="7">
        <v>1.1183803377243473</v>
      </c>
      <c r="M21" s="7">
        <v>1.0272901871454529</v>
      </c>
    </row>
    <row r="22" spans="2:13" x14ac:dyDescent="0.3">
      <c r="B22" t="s">
        <v>45</v>
      </c>
      <c r="C22">
        <v>2022</v>
      </c>
      <c r="D22" t="s">
        <v>59</v>
      </c>
      <c r="E22">
        <v>1156.2</v>
      </c>
      <c r="F22">
        <v>1058.1000000000001</v>
      </c>
      <c r="G22">
        <f t="shared" si="0"/>
        <v>2214.3000000000002</v>
      </c>
      <c r="I22" s="4">
        <v>2022</v>
      </c>
      <c r="J22" s="4" t="s">
        <v>61</v>
      </c>
      <c r="K22" s="7">
        <v>0.18680781034558636</v>
      </c>
      <c r="L22" s="7">
        <v>0.17923497267761154</v>
      </c>
      <c r="M22" s="7">
        <v>0.19452672531944587</v>
      </c>
    </row>
    <row r="23" spans="2:13" x14ac:dyDescent="0.3">
      <c r="B23" t="s">
        <v>41</v>
      </c>
      <c r="C23">
        <v>2022</v>
      </c>
      <c r="D23" t="s">
        <v>42</v>
      </c>
      <c r="E23">
        <v>1161.6999999999998</v>
      </c>
      <c r="F23">
        <v>1065.1000000000001</v>
      </c>
      <c r="G23">
        <f t="shared" si="0"/>
        <v>2226.8000000000002</v>
      </c>
      <c r="I23" s="4">
        <v>2022</v>
      </c>
      <c r="J23" s="4" t="s">
        <v>85</v>
      </c>
      <c r="K23" s="7">
        <v>0.14650388457270508</v>
      </c>
      <c r="L23" s="7">
        <v>9.163902949903599E-2</v>
      </c>
      <c r="M23" s="7">
        <v>0.12796187618583754</v>
      </c>
    </row>
    <row r="24" spans="2:13" x14ac:dyDescent="0.3">
      <c r="B24" t="s">
        <v>44</v>
      </c>
      <c r="C24">
        <v>2022</v>
      </c>
      <c r="D24" t="s">
        <v>42</v>
      </c>
      <c r="E24">
        <v>1190.6000000000001</v>
      </c>
      <c r="F24">
        <v>1071.5999999999999</v>
      </c>
      <c r="G24">
        <f t="shared" si="0"/>
        <v>2262.1999999999998</v>
      </c>
      <c r="I24" s="4">
        <v>2022</v>
      </c>
      <c r="J24" s="4" t="s">
        <v>86</v>
      </c>
      <c r="K24" s="7">
        <v>0.53196205337352598</v>
      </c>
      <c r="L24" s="7">
        <v>0.55369054366304926</v>
      </c>
      <c r="M24" s="7">
        <v>0.51560021152828395</v>
      </c>
    </row>
    <row r="25" spans="2:13" x14ac:dyDescent="0.3">
      <c r="B25" t="s">
        <v>45</v>
      </c>
      <c r="C25">
        <v>2022</v>
      </c>
      <c r="D25" t="s">
        <v>42</v>
      </c>
      <c r="E25">
        <v>1171.7</v>
      </c>
      <c r="F25">
        <v>1067.2</v>
      </c>
      <c r="G25">
        <f t="shared" si="0"/>
        <v>2238.9</v>
      </c>
      <c r="I25" s="4">
        <v>2022</v>
      </c>
      <c r="J25" s="4" t="s">
        <v>87</v>
      </c>
      <c r="K25" s="7">
        <v>0.73639650762853059</v>
      </c>
      <c r="L25" s="7">
        <v>0.68938605619149096</v>
      </c>
      <c r="M25" s="7">
        <v>0.71901442413084959</v>
      </c>
    </row>
    <row r="26" spans="2:13" x14ac:dyDescent="0.3">
      <c r="B26" t="s">
        <v>41</v>
      </c>
      <c r="C26">
        <v>2022</v>
      </c>
      <c r="D26" t="s">
        <v>60</v>
      </c>
      <c r="E26">
        <v>1167.6000000000001</v>
      </c>
      <c r="F26">
        <v>1080.6999999999998</v>
      </c>
      <c r="G26">
        <f t="shared" si="0"/>
        <v>2248.3000000000002</v>
      </c>
      <c r="I26" s="4">
        <v>2022</v>
      </c>
      <c r="J26" s="4" t="s">
        <v>88</v>
      </c>
      <c r="K26" s="7">
        <v>0.14007441453271255</v>
      </c>
      <c r="L26" s="7">
        <v>-0.34017999397149767</v>
      </c>
      <c r="M26" s="7">
        <v>-2.1764680276846731E-2</v>
      </c>
    </row>
    <row r="27" spans="2:13" x14ac:dyDescent="0.3">
      <c r="B27" t="s">
        <v>44</v>
      </c>
      <c r="C27">
        <v>2022</v>
      </c>
      <c r="D27" t="s">
        <v>60</v>
      </c>
      <c r="E27">
        <v>1200.2</v>
      </c>
      <c r="F27">
        <v>1087.3</v>
      </c>
      <c r="G27">
        <f t="shared" si="0"/>
        <v>2287.5</v>
      </c>
      <c r="I27" s="4">
        <v>2022</v>
      </c>
      <c r="J27" s="4" t="s">
        <v>89</v>
      </c>
      <c r="K27" s="7">
        <v>-0.46334746688811712</v>
      </c>
      <c r="L27" s="7">
        <v>-0.80366401659176923</v>
      </c>
      <c r="M27" s="7">
        <v>-0.58342041100662179</v>
      </c>
    </row>
    <row r="28" spans="2:13" x14ac:dyDescent="0.3">
      <c r="B28" t="s">
        <v>45</v>
      </c>
      <c r="C28">
        <v>2022</v>
      </c>
      <c r="D28" t="s">
        <v>60</v>
      </c>
      <c r="E28">
        <v>1179.1999999999998</v>
      </c>
      <c r="F28">
        <v>1082.7</v>
      </c>
      <c r="G28">
        <f t="shared" si="0"/>
        <v>2261.8999999999996</v>
      </c>
      <c r="I28" s="4">
        <v>2023</v>
      </c>
      <c r="J28" s="4" t="s">
        <v>90</v>
      </c>
      <c r="K28" s="7">
        <v>0.26788459004872223</v>
      </c>
      <c r="L28" s="7">
        <v>0.62723233731159656</v>
      </c>
      <c r="M28" s="7">
        <v>0.40728737847068963</v>
      </c>
    </row>
    <row r="29" spans="2:13" x14ac:dyDescent="0.3">
      <c r="B29" t="s">
        <v>41</v>
      </c>
      <c r="C29">
        <v>2022</v>
      </c>
      <c r="D29" t="s">
        <v>61</v>
      </c>
      <c r="E29">
        <v>1171</v>
      </c>
      <c r="F29">
        <v>1081.5</v>
      </c>
      <c r="G29">
        <f t="shared" si="0"/>
        <v>2252.5</v>
      </c>
      <c r="I29" s="4">
        <v>2023</v>
      </c>
      <c r="J29" s="4" t="s">
        <v>91</v>
      </c>
      <c r="K29" s="7">
        <v>-0.76646811492641909</v>
      </c>
      <c r="L29" s="7">
        <v>-0.30300406891178255</v>
      </c>
      <c r="M29" s="7">
        <v>-0.59318707201114218</v>
      </c>
    </row>
    <row r="30" spans="2:13" x14ac:dyDescent="0.3">
      <c r="B30" t="s">
        <v>44</v>
      </c>
      <c r="C30">
        <v>2022</v>
      </c>
      <c r="D30" t="s">
        <v>61</v>
      </c>
      <c r="E30">
        <v>1203.9000000000001</v>
      </c>
      <c r="F30">
        <v>1087.7</v>
      </c>
      <c r="G30">
        <f t="shared" si="0"/>
        <v>2291.6000000000004</v>
      </c>
      <c r="I30" s="4">
        <v>2023</v>
      </c>
      <c r="J30" s="4" t="s">
        <v>92</v>
      </c>
      <c r="K30" s="7">
        <v>4.413646996529276E-3</v>
      </c>
      <c r="L30" s="7">
        <v>8.6835706842574717E-3</v>
      </c>
      <c r="M30" s="7">
        <v>4.3876968978743486E-3</v>
      </c>
    </row>
    <row r="31" spans="2:13" x14ac:dyDescent="0.3">
      <c r="B31" t="s">
        <v>45</v>
      </c>
      <c r="C31">
        <v>2022</v>
      </c>
      <c r="D31" t="s">
        <v>61</v>
      </c>
      <c r="E31">
        <v>1182.9000000000001</v>
      </c>
      <c r="F31">
        <v>1083.3999999999999</v>
      </c>
      <c r="G31">
        <f t="shared" si="0"/>
        <v>2266.3000000000002</v>
      </c>
      <c r="I31" s="4">
        <v>2023</v>
      </c>
      <c r="J31" s="4" t="s">
        <v>93</v>
      </c>
      <c r="K31" s="7">
        <v>0.37072998499424642</v>
      </c>
      <c r="L31" s="7">
        <v>0.62082139446037088</v>
      </c>
      <c r="M31" s="7">
        <v>0.45630045630046029</v>
      </c>
    </row>
    <row r="32" spans="2:13" x14ac:dyDescent="0.3">
      <c r="B32" t="s">
        <v>41</v>
      </c>
      <c r="C32">
        <v>2022</v>
      </c>
      <c r="D32" t="s">
        <v>62</v>
      </c>
      <c r="E32">
        <v>1182.8</v>
      </c>
      <c r="F32">
        <v>1073</v>
      </c>
      <c r="G32">
        <f t="shared" si="0"/>
        <v>2255.8000000000002</v>
      </c>
      <c r="I32" s="4">
        <v>2023</v>
      </c>
      <c r="J32" s="4" t="s">
        <v>94</v>
      </c>
      <c r="K32" s="7">
        <v>0.72552985665288905</v>
      </c>
      <c r="L32" s="7">
        <v>0.75074427233896068</v>
      </c>
      <c r="M32" s="7">
        <v>0.75559049615652207</v>
      </c>
    </row>
    <row r="33" spans="2:37" x14ac:dyDescent="0.3">
      <c r="B33" t="s">
        <v>44</v>
      </c>
      <c r="C33">
        <v>2022</v>
      </c>
      <c r="D33" t="s">
        <v>62</v>
      </c>
      <c r="E33">
        <v>1214.0000000000002</v>
      </c>
      <c r="F33">
        <v>1079.7</v>
      </c>
      <c r="G33">
        <f t="shared" si="0"/>
        <v>2293.7000000000003</v>
      </c>
    </row>
    <row r="34" spans="2:37" x14ac:dyDescent="0.3">
      <c r="B34" t="s">
        <v>45</v>
      </c>
      <c r="C34">
        <v>2022</v>
      </c>
      <c r="D34" t="s">
        <v>62</v>
      </c>
      <c r="E34">
        <v>1194</v>
      </c>
      <c r="F34">
        <v>1075.1999999999998</v>
      </c>
      <c r="G34">
        <f t="shared" si="0"/>
        <v>2269.1999999999998</v>
      </c>
    </row>
    <row r="35" spans="2:37" x14ac:dyDescent="0.3">
      <c r="B35" t="s">
        <v>41</v>
      </c>
      <c r="C35">
        <v>2022</v>
      </c>
      <c r="D35" t="s">
        <v>63</v>
      </c>
      <c r="E35">
        <v>1186.8999999999999</v>
      </c>
      <c r="F35">
        <v>1080.9000000000001</v>
      </c>
      <c r="G35">
        <f t="shared" si="0"/>
        <v>2267.8000000000002</v>
      </c>
    </row>
    <row r="36" spans="2:37" x14ac:dyDescent="0.3">
      <c r="B36" t="s">
        <v>44</v>
      </c>
      <c r="C36">
        <v>2022</v>
      </c>
      <c r="D36" t="s">
        <v>63</v>
      </c>
      <c r="E36">
        <v>1218.3999999999999</v>
      </c>
      <c r="F36">
        <v>1088</v>
      </c>
      <c r="G36">
        <f t="shared" si="0"/>
        <v>2306.3999999999996</v>
      </c>
    </row>
    <row r="37" spans="2:37" x14ac:dyDescent="0.3">
      <c r="B37" t="s">
        <v>45</v>
      </c>
      <c r="C37">
        <v>2022</v>
      </c>
      <c r="D37" t="s">
        <v>63</v>
      </c>
      <c r="E37">
        <v>1197.7</v>
      </c>
      <c r="F37">
        <v>1083.1999999999998</v>
      </c>
      <c r="G37">
        <f t="shared" si="0"/>
        <v>2280.8999999999996</v>
      </c>
      <c r="O37" s="49" t="s">
        <v>133</v>
      </c>
      <c r="P37" s="1" t="s">
        <v>134</v>
      </c>
      <c r="Q37" s="1"/>
      <c r="R37" s="1"/>
      <c r="S37" s="1"/>
      <c r="T37" s="1"/>
      <c r="U37" s="1"/>
      <c r="V37" s="1"/>
      <c r="W37" s="1"/>
      <c r="X37" s="1"/>
      <c r="AC37" s="49" t="s">
        <v>133</v>
      </c>
      <c r="AD37" s="1" t="s">
        <v>136</v>
      </c>
      <c r="AE37" s="1"/>
      <c r="AF37" s="1"/>
      <c r="AG37" s="1"/>
      <c r="AH37" s="1"/>
      <c r="AI37" s="1"/>
      <c r="AJ37" s="1"/>
      <c r="AK37" s="1"/>
    </row>
    <row r="38" spans="2:37" x14ac:dyDescent="0.3">
      <c r="B38" t="s">
        <v>41</v>
      </c>
      <c r="C38">
        <v>2022</v>
      </c>
      <c r="D38" t="s">
        <v>64</v>
      </c>
      <c r="E38">
        <v>1195.7</v>
      </c>
      <c r="F38">
        <v>1088.8</v>
      </c>
      <c r="G38">
        <f t="shared" si="0"/>
        <v>2284.5</v>
      </c>
      <c r="O38" s="49" t="s">
        <v>133</v>
      </c>
      <c r="P38" s="1" t="s">
        <v>135</v>
      </c>
      <c r="Q38" s="1"/>
      <c r="R38" s="1"/>
      <c r="S38" s="1"/>
      <c r="T38" s="1"/>
      <c r="U38" s="1"/>
      <c r="V38" s="1"/>
      <c r="W38" s="1"/>
      <c r="X38" s="1"/>
      <c r="AC38" s="49" t="s">
        <v>133</v>
      </c>
      <c r="AD38" s="1" t="s">
        <v>137</v>
      </c>
      <c r="AE38" s="1"/>
      <c r="AF38" s="1"/>
      <c r="AG38" s="1"/>
      <c r="AH38" s="1"/>
      <c r="AI38" s="1"/>
      <c r="AJ38" s="1"/>
      <c r="AK38" s="1"/>
    </row>
    <row r="39" spans="2:37" x14ac:dyDescent="0.3">
      <c r="B39" t="s">
        <v>44</v>
      </c>
      <c r="C39">
        <v>2022</v>
      </c>
      <c r="D39" t="s">
        <v>64</v>
      </c>
      <c r="E39">
        <v>1228.1000000000001</v>
      </c>
      <c r="F39">
        <v>1094.2</v>
      </c>
      <c r="G39">
        <f t="shared" si="0"/>
        <v>2322.3000000000002</v>
      </c>
      <c r="O39" s="49" t="s">
        <v>133</v>
      </c>
      <c r="P39" s="1" t="s">
        <v>132</v>
      </c>
      <c r="Q39" s="1"/>
      <c r="R39" s="1"/>
      <c r="S39" s="1"/>
      <c r="T39" s="1"/>
      <c r="U39" s="1"/>
      <c r="V39" s="1"/>
      <c r="W39" s="1"/>
      <c r="X39" s="1"/>
      <c r="AC39" s="49" t="s">
        <v>133</v>
      </c>
      <c r="AD39" s="1" t="s">
        <v>132</v>
      </c>
      <c r="AE39" s="1"/>
      <c r="AF39" s="1"/>
      <c r="AG39" s="1"/>
      <c r="AH39" s="1"/>
      <c r="AI39" s="1"/>
      <c r="AJ39" s="1"/>
      <c r="AK39" s="1"/>
    </row>
    <row r="40" spans="2:37" x14ac:dyDescent="0.3">
      <c r="B40" t="s">
        <v>45</v>
      </c>
      <c r="C40">
        <v>2022</v>
      </c>
      <c r="D40" t="s">
        <v>64</v>
      </c>
      <c r="E40">
        <v>1206.8</v>
      </c>
      <c r="F40">
        <v>1090.5</v>
      </c>
      <c r="G40">
        <f t="shared" si="0"/>
        <v>2297.3000000000002</v>
      </c>
    </row>
    <row r="41" spans="2:37" x14ac:dyDescent="0.3">
      <c r="B41" t="s">
        <v>41</v>
      </c>
      <c r="C41">
        <v>2022</v>
      </c>
      <c r="D41" t="s">
        <v>65</v>
      </c>
      <c r="E41">
        <v>1188.0999999999999</v>
      </c>
      <c r="F41">
        <v>1099.5999999999999</v>
      </c>
      <c r="G41">
        <f t="shared" si="0"/>
        <v>2287.6999999999998</v>
      </c>
    </row>
    <row r="42" spans="2:37" x14ac:dyDescent="0.3">
      <c r="B42" t="s">
        <v>44</v>
      </c>
      <c r="C42">
        <v>2022</v>
      </c>
      <c r="D42" t="s">
        <v>65</v>
      </c>
      <c r="E42">
        <v>1209.7</v>
      </c>
      <c r="F42">
        <v>1104.7</v>
      </c>
      <c r="G42">
        <f t="shared" si="0"/>
        <v>2314.4</v>
      </c>
    </row>
    <row r="43" spans="2:37" x14ac:dyDescent="0.3">
      <c r="B43" t="s">
        <v>45</v>
      </c>
      <c r="C43">
        <v>2022</v>
      </c>
      <c r="D43" t="s">
        <v>65</v>
      </c>
      <c r="E43">
        <v>1195.5</v>
      </c>
      <c r="F43">
        <v>1101.3</v>
      </c>
      <c r="G43">
        <f t="shared" si="0"/>
        <v>2296.8000000000002</v>
      </c>
    </row>
    <row r="44" spans="2:37" x14ac:dyDescent="0.3">
      <c r="B44" t="s">
        <v>41</v>
      </c>
      <c r="C44">
        <v>2022</v>
      </c>
      <c r="D44" t="s">
        <v>66</v>
      </c>
      <c r="E44">
        <v>1168.8000000000002</v>
      </c>
      <c r="F44">
        <v>1108.3000000000002</v>
      </c>
      <c r="G44">
        <f t="shared" si="0"/>
        <v>2277.1000000000004</v>
      </c>
    </row>
    <row r="45" spans="2:37" x14ac:dyDescent="0.3">
      <c r="B45" t="s">
        <v>44</v>
      </c>
      <c r="C45">
        <v>2022</v>
      </c>
      <c r="D45" t="s">
        <v>66</v>
      </c>
      <c r="E45">
        <v>1182.4000000000001</v>
      </c>
      <c r="F45">
        <v>1113.3999999999999</v>
      </c>
      <c r="G45">
        <f t="shared" si="0"/>
        <v>2295.8000000000002</v>
      </c>
    </row>
    <row r="46" spans="2:37" x14ac:dyDescent="0.3">
      <c r="B46" t="s">
        <v>45</v>
      </c>
      <c r="C46">
        <v>2022</v>
      </c>
      <c r="D46" t="s">
        <v>66</v>
      </c>
      <c r="E46">
        <v>1173.4000000000001</v>
      </c>
      <c r="F46">
        <v>1110</v>
      </c>
      <c r="G46">
        <f t="shared" si="0"/>
        <v>2283.4</v>
      </c>
    </row>
    <row r="47" spans="2:37" x14ac:dyDescent="0.3">
      <c r="B47" t="s">
        <v>41</v>
      </c>
      <c r="C47">
        <v>2023</v>
      </c>
      <c r="D47" t="s">
        <v>56</v>
      </c>
      <c r="E47">
        <v>1167.3</v>
      </c>
      <c r="F47">
        <v>1115.9000000000001</v>
      </c>
      <c r="G47">
        <f t="shared" si="0"/>
        <v>2283.1999999999998</v>
      </c>
    </row>
    <row r="48" spans="2:37" x14ac:dyDescent="0.3">
      <c r="B48" t="s">
        <v>44</v>
      </c>
      <c r="C48">
        <v>2023</v>
      </c>
      <c r="D48" t="s">
        <v>56</v>
      </c>
      <c r="E48">
        <v>1185.3</v>
      </c>
      <c r="F48">
        <v>1124.8999999999999</v>
      </c>
      <c r="G48">
        <f t="shared" si="0"/>
        <v>2310.1999999999998</v>
      </c>
    </row>
    <row r="49" spans="2:7" x14ac:dyDescent="0.3">
      <c r="B49" t="s">
        <v>45</v>
      </c>
      <c r="C49">
        <v>2023</v>
      </c>
      <c r="D49" t="s">
        <v>56</v>
      </c>
      <c r="E49">
        <v>1173.5999999999999</v>
      </c>
      <c r="F49">
        <v>1119.0999999999999</v>
      </c>
      <c r="G49">
        <f t="shared" si="0"/>
        <v>2292.6999999999998</v>
      </c>
    </row>
    <row r="50" spans="2:7" x14ac:dyDescent="0.3">
      <c r="B50" t="s">
        <v>41</v>
      </c>
      <c r="C50">
        <v>2023</v>
      </c>
      <c r="D50" t="s">
        <v>57</v>
      </c>
      <c r="E50">
        <v>1167.3</v>
      </c>
      <c r="F50">
        <v>1098.4000000000001</v>
      </c>
      <c r="G50">
        <f t="shared" si="0"/>
        <v>2265.6999999999998</v>
      </c>
    </row>
    <row r="51" spans="2:7" x14ac:dyDescent="0.3">
      <c r="B51" t="s">
        <v>44</v>
      </c>
      <c r="C51">
        <v>2023</v>
      </c>
      <c r="D51" t="s">
        <v>57</v>
      </c>
      <c r="E51">
        <v>1193.7</v>
      </c>
      <c r="F51">
        <v>1109.5</v>
      </c>
      <c r="G51">
        <f t="shared" si="0"/>
        <v>2303.1999999999998</v>
      </c>
    </row>
    <row r="52" spans="2:7" x14ac:dyDescent="0.3">
      <c r="B52" t="s">
        <v>45</v>
      </c>
      <c r="C52">
        <v>2023</v>
      </c>
      <c r="D52" t="s">
        <v>57</v>
      </c>
      <c r="E52">
        <v>1176.6000000000001</v>
      </c>
      <c r="F52">
        <v>1102.5</v>
      </c>
      <c r="G52">
        <f t="shared" si="0"/>
        <v>2279.1000000000004</v>
      </c>
    </row>
    <row r="53" spans="2:7" x14ac:dyDescent="0.3">
      <c r="B53" t="s">
        <v>41</v>
      </c>
      <c r="C53">
        <v>2023</v>
      </c>
      <c r="D53" t="s">
        <v>58</v>
      </c>
      <c r="E53">
        <v>1167.3999999999999</v>
      </c>
      <c r="F53">
        <v>1098.4000000000001</v>
      </c>
      <c r="G53">
        <f t="shared" si="0"/>
        <v>2265.8000000000002</v>
      </c>
    </row>
    <row r="54" spans="2:7" x14ac:dyDescent="0.3">
      <c r="B54" t="s">
        <v>44</v>
      </c>
      <c r="C54">
        <v>2023</v>
      </c>
      <c r="D54" t="s">
        <v>58</v>
      </c>
      <c r="E54">
        <v>1193.8</v>
      </c>
      <c r="F54">
        <v>1109.5999999999999</v>
      </c>
      <c r="G54">
        <f t="shared" si="0"/>
        <v>2303.3999999999996</v>
      </c>
    </row>
    <row r="55" spans="2:7" x14ac:dyDescent="0.3">
      <c r="B55" t="s">
        <v>45</v>
      </c>
      <c r="C55">
        <v>2023</v>
      </c>
      <c r="D55" t="s">
        <v>58</v>
      </c>
      <c r="E55">
        <v>1176.7</v>
      </c>
      <c r="F55">
        <v>1102.5</v>
      </c>
      <c r="G55">
        <f t="shared" si="0"/>
        <v>2279.1999999999998</v>
      </c>
    </row>
    <row r="56" spans="2:7" x14ac:dyDescent="0.3">
      <c r="B56" t="s">
        <v>41</v>
      </c>
      <c r="C56">
        <v>2023</v>
      </c>
      <c r="D56" t="s">
        <v>59</v>
      </c>
      <c r="E56">
        <v>1177</v>
      </c>
      <c r="F56">
        <v>1097.2</v>
      </c>
      <c r="G56">
        <f t="shared" si="0"/>
        <v>2274.1999999999998</v>
      </c>
    </row>
    <row r="57" spans="2:7" x14ac:dyDescent="0.3">
      <c r="B57" t="s">
        <v>44</v>
      </c>
      <c r="C57">
        <v>2023</v>
      </c>
      <c r="D57" t="s">
        <v>59</v>
      </c>
      <c r="E57">
        <v>1208.2</v>
      </c>
      <c r="F57">
        <v>1109.5</v>
      </c>
      <c r="G57">
        <f t="shared" si="0"/>
        <v>2317.6999999999998</v>
      </c>
    </row>
    <row r="58" spans="2:7" x14ac:dyDescent="0.3">
      <c r="B58" t="s">
        <v>45</v>
      </c>
      <c r="C58">
        <v>2023</v>
      </c>
      <c r="D58" t="s">
        <v>59</v>
      </c>
      <c r="E58">
        <v>1188</v>
      </c>
      <c r="F58">
        <v>1101.5999999999999</v>
      </c>
      <c r="G58">
        <f t="shared" si="0"/>
        <v>2289.6</v>
      </c>
    </row>
    <row r="59" spans="2:7" x14ac:dyDescent="0.3">
      <c r="B59" t="s">
        <v>41</v>
      </c>
      <c r="C59">
        <v>2023</v>
      </c>
      <c r="D59" t="s">
        <v>42</v>
      </c>
      <c r="E59">
        <v>1182</v>
      </c>
      <c r="F59">
        <v>1108.7</v>
      </c>
      <c r="G59">
        <f t="shared" si="0"/>
        <v>2290.6999999999998</v>
      </c>
    </row>
    <row r="60" spans="2:7" x14ac:dyDescent="0.3">
      <c r="B60" t="s">
        <v>44</v>
      </c>
      <c r="C60">
        <v>2023</v>
      </c>
      <c r="D60" t="s">
        <v>42</v>
      </c>
      <c r="E60">
        <v>1212.9000000000001</v>
      </c>
      <c r="F60">
        <v>1122.1999999999998</v>
      </c>
      <c r="G60">
        <f t="shared" si="0"/>
        <v>2335.1</v>
      </c>
    </row>
    <row r="61" spans="2:7" x14ac:dyDescent="0.3">
      <c r="B61" t="s">
        <v>45</v>
      </c>
      <c r="C61">
        <v>2023</v>
      </c>
      <c r="D61" t="s">
        <v>42</v>
      </c>
      <c r="E61">
        <v>1193.2</v>
      </c>
      <c r="F61">
        <v>1113.6999999999998</v>
      </c>
      <c r="G61">
        <f t="shared" si="0"/>
        <v>2306.8999999999996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29006-E1FB-4215-B446-D24342BF39CB}">
  <dimension ref="A3:AK43"/>
  <sheetViews>
    <sheetView topLeftCell="U4" zoomScale="90" workbookViewId="0">
      <selection activeCell="AA32" sqref="AA32:AK32"/>
    </sheetView>
  </sheetViews>
  <sheetFormatPr defaultRowHeight="14.4" x14ac:dyDescent="0.3"/>
  <cols>
    <col min="17" max="17" width="20.77734375" customWidth="1"/>
    <col min="20" max="20" width="19.109375" customWidth="1"/>
    <col min="21" max="21" width="11.5546875" customWidth="1"/>
    <col min="22" max="22" width="11.77734375" customWidth="1"/>
    <col min="23" max="23" width="13.44140625" customWidth="1"/>
  </cols>
  <sheetData>
    <row r="3" spans="1:23" ht="23.4" x14ac:dyDescent="0.45">
      <c r="A3" s="57" t="s">
        <v>75</v>
      </c>
      <c r="B3" s="10" t="s">
        <v>95</v>
      </c>
      <c r="C3" s="45"/>
      <c r="D3" s="45"/>
      <c r="E3" s="45"/>
      <c r="F3" s="45"/>
      <c r="G3" s="45"/>
      <c r="H3" s="45"/>
      <c r="I3" s="45"/>
      <c r="J3" s="45"/>
      <c r="K3" s="45"/>
      <c r="L3" s="45"/>
      <c r="M3" s="45"/>
      <c r="N3" s="45"/>
      <c r="O3" s="45"/>
      <c r="P3" s="45"/>
      <c r="Q3" s="45"/>
    </row>
    <row r="6" spans="1:23" x14ac:dyDescent="0.3">
      <c r="B6" s="1" t="s">
        <v>68</v>
      </c>
    </row>
    <row r="7" spans="1:23" x14ac:dyDescent="0.3">
      <c r="B7" s="6" t="s">
        <v>37</v>
      </c>
      <c r="C7" s="6" t="s">
        <v>38</v>
      </c>
      <c r="D7" s="6" t="s">
        <v>39</v>
      </c>
      <c r="E7" s="6" t="s">
        <v>9</v>
      </c>
      <c r="F7" s="6" t="s">
        <v>10</v>
      </c>
      <c r="G7" s="6" t="s">
        <v>11</v>
      </c>
      <c r="H7" s="6" t="s">
        <v>2</v>
      </c>
      <c r="I7" s="6" t="s">
        <v>3</v>
      </c>
      <c r="J7" s="6" t="s">
        <v>4</v>
      </c>
      <c r="K7" s="6" t="s">
        <v>6</v>
      </c>
      <c r="L7" s="6" t="s">
        <v>7</v>
      </c>
      <c r="M7" s="6" t="s">
        <v>8</v>
      </c>
      <c r="N7" s="6" t="s">
        <v>13</v>
      </c>
      <c r="O7" s="6" t="s">
        <v>14</v>
      </c>
      <c r="P7" s="6" t="s">
        <v>40</v>
      </c>
      <c r="Q7" s="6" t="s">
        <v>1</v>
      </c>
    </row>
    <row r="8" spans="1:23" x14ac:dyDescent="0.3">
      <c r="B8" t="s">
        <v>41</v>
      </c>
      <c r="C8">
        <v>2022</v>
      </c>
      <c r="D8" t="s">
        <v>60</v>
      </c>
      <c r="E8">
        <v>217.2</v>
      </c>
      <c r="F8">
        <v>169.6</v>
      </c>
      <c r="G8">
        <v>165.4</v>
      </c>
      <c r="H8">
        <v>208.1</v>
      </c>
      <c r="I8">
        <v>165.8</v>
      </c>
      <c r="J8">
        <v>167.3</v>
      </c>
      <c r="K8">
        <v>164.6</v>
      </c>
      <c r="L8">
        <v>119.1</v>
      </c>
      <c r="M8">
        <v>188.9</v>
      </c>
      <c r="N8">
        <v>174.2</v>
      </c>
      <c r="O8">
        <v>181.9</v>
      </c>
      <c r="P8">
        <v>172.4</v>
      </c>
      <c r="Q8">
        <v>153.80000000000001</v>
      </c>
      <c r="S8" s="1" t="s">
        <v>70</v>
      </c>
      <c r="T8" t="s">
        <v>72</v>
      </c>
    </row>
    <row r="9" spans="1:23" x14ac:dyDescent="0.3">
      <c r="B9" t="s">
        <v>44</v>
      </c>
      <c r="C9">
        <v>2022</v>
      </c>
      <c r="D9" t="s">
        <v>60</v>
      </c>
      <c r="E9">
        <v>223.4</v>
      </c>
      <c r="F9">
        <v>172.8</v>
      </c>
      <c r="G9">
        <v>166.4</v>
      </c>
      <c r="H9">
        <v>188.6</v>
      </c>
      <c r="I9">
        <v>174.1</v>
      </c>
      <c r="J9">
        <v>211.5</v>
      </c>
      <c r="K9">
        <v>163.6</v>
      </c>
      <c r="L9">
        <v>121.4</v>
      </c>
      <c r="M9">
        <v>183.5</v>
      </c>
      <c r="N9">
        <v>159.1</v>
      </c>
      <c r="O9">
        <v>186.3</v>
      </c>
      <c r="P9">
        <v>179.3</v>
      </c>
      <c r="Q9">
        <v>157.5</v>
      </c>
    </row>
    <row r="10" spans="1:23" x14ac:dyDescent="0.3">
      <c r="B10" t="s">
        <v>45</v>
      </c>
      <c r="C10">
        <v>2022</v>
      </c>
      <c r="D10" t="s">
        <v>60</v>
      </c>
      <c r="E10">
        <v>219.4</v>
      </c>
      <c r="F10">
        <v>170.8</v>
      </c>
      <c r="G10">
        <v>165.8</v>
      </c>
      <c r="H10">
        <v>200.9</v>
      </c>
      <c r="I10">
        <v>169.7</v>
      </c>
      <c r="J10">
        <v>182.3</v>
      </c>
      <c r="K10">
        <v>164.3</v>
      </c>
      <c r="L10">
        <v>119.9</v>
      </c>
      <c r="M10">
        <v>187.1</v>
      </c>
      <c r="N10">
        <v>167.9</v>
      </c>
      <c r="O10">
        <v>183.9</v>
      </c>
      <c r="P10">
        <v>174.9</v>
      </c>
      <c r="Q10">
        <v>155</v>
      </c>
    </row>
    <row r="11" spans="1:23" x14ac:dyDescent="0.3">
      <c r="B11" t="s">
        <v>41</v>
      </c>
      <c r="C11">
        <v>2022</v>
      </c>
      <c r="D11" t="s">
        <v>61</v>
      </c>
      <c r="E11">
        <v>210.8</v>
      </c>
      <c r="F11">
        <v>174.3</v>
      </c>
      <c r="G11">
        <v>166.3</v>
      </c>
      <c r="H11">
        <v>202.2</v>
      </c>
      <c r="I11">
        <v>169.6</v>
      </c>
      <c r="J11">
        <v>168.6</v>
      </c>
      <c r="K11">
        <v>164.4</v>
      </c>
      <c r="L11">
        <v>119.2</v>
      </c>
      <c r="M11">
        <v>191.8</v>
      </c>
      <c r="N11">
        <v>174.5</v>
      </c>
      <c r="O11">
        <v>183.1</v>
      </c>
      <c r="P11">
        <v>172.5</v>
      </c>
      <c r="Q11">
        <v>155.19999999999999</v>
      </c>
      <c r="T11" s="4"/>
      <c r="U11" s="5" t="s">
        <v>96</v>
      </c>
      <c r="V11" s="4"/>
      <c r="W11" s="4"/>
    </row>
    <row r="12" spans="1:23" x14ac:dyDescent="0.3">
      <c r="B12" t="s">
        <v>44</v>
      </c>
      <c r="C12">
        <v>2022</v>
      </c>
      <c r="D12" t="s">
        <v>61</v>
      </c>
      <c r="E12">
        <v>217.1</v>
      </c>
      <c r="F12">
        <v>176.6</v>
      </c>
      <c r="G12">
        <v>167.1</v>
      </c>
      <c r="H12">
        <v>184.8</v>
      </c>
      <c r="I12">
        <v>179.5</v>
      </c>
      <c r="J12">
        <v>208.5</v>
      </c>
      <c r="K12">
        <v>164</v>
      </c>
      <c r="L12">
        <v>121.5</v>
      </c>
      <c r="M12">
        <v>186.3</v>
      </c>
      <c r="N12">
        <v>159.80000000000001</v>
      </c>
      <c r="O12">
        <v>187.7</v>
      </c>
      <c r="P12">
        <v>179.4</v>
      </c>
      <c r="Q12">
        <v>159.30000000000001</v>
      </c>
      <c r="T12" s="4" t="s">
        <v>51</v>
      </c>
      <c r="U12" s="5" t="s">
        <v>82</v>
      </c>
      <c r="V12" s="5" t="s">
        <v>83</v>
      </c>
      <c r="W12" s="5" t="s">
        <v>84</v>
      </c>
    </row>
    <row r="13" spans="1:23" x14ac:dyDescent="0.3">
      <c r="B13" t="s">
        <v>45</v>
      </c>
      <c r="C13">
        <v>2022</v>
      </c>
      <c r="D13" t="s">
        <v>61</v>
      </c>
      <c r="E13">
        <v>213</v>
      </c>
      <c r="F13">
        <v>175.2</v>
      </c>
      <c r="G13">
        <v>166.6</v>
      </c>
      <c r="H13">
        <v>195.8</v>
      </c>
      <c r="I13">
        <v>174.2</v>
      </c>
      <c r="J13">
        <v>182.1</v>
      </c>
      <c r="K13">
        <v>164.3</v>
      </c>
      <c r="L13">
        <v>120</v>
      </c>
      <c r="M13">
        <v>190</v>
      </c>
      <c r="N13">
        <v>168.4</v>
      </c>
      <c r="O13">
        <v>185.2</v>
      </c>
      <c r="P13">
        <v>175</v>
      </c>
      <c r="Q13">
        <v>156.5</v>
      </c>
      <c r="T13" s="16" t="s">
        <v>9</v>
      </c>
      <c r="U13" s="15">
        <f>((E41-E8)/E8*100)</f>
        <v>-2.6243093922651886</v>
      </c>
      <c r="V13" s="7">
        <v>-1.7905102954341987</v>
      </c>
      <c r="W13" s="7">
        <v>-2.3245214220601613</v>
      </c>
    </row>
    <row r="14" spans="1:23" x14ac:dyDescent="0.3">
      <c r="B14" t="s">
        <v>41</v>
      </c>
      <c r="C14">
        <v>2022</v>
      </c>
      <c r="D14" t="s">
        <v>62</v>
      </c>
      <c r="E14">
        <v>204.1</v>
      </c>
      <c r="F14">
        <v>168.3</v>
      </c>
      <c r="G14">
        <v>167.9</v>
      </c>
      <c r="H14">
        <v>198.1</v>
      </c>
      <c r="I14">
        <v>169.2</v>
      </c>
      <c r="J14">
        <v>173.1</v>
      </c>
      <c r="K14">
        <v>167.1</v>
      </c>
      <c r="L14">
        <v>120.2</v>
      </c>
      <c r="M14">
        <v>195.6</v>
      </c>
      <c r="N14">
        <v>174.8</v>
      </c>
      <c r="O14">
        <v>184</v>
      </c>
      <c r="P14">
        <v>173.9</v>
      </c>
      <c r="Q14">
        <v>159.5</v>
      </c>
      <c r="T14" s="16" t="s">
        <v>10</v>
      </c>
      <c r="U14" s="7">
        <v>0.82547169811321097</v>
      </c>
      <c r="V14" s="7">
        <v>2.2569444444444313</v>
      </c>
      <c r="W14" s="7">
        <v>1.4051522248243427</v>
      </c>
    </row>
    <row r="15" spans="1:23" x14ac:dyDescent="0.3">
      <c r="B15" t="s">
        <v>44</v>
      </c>
      <c r="C15">
        <v>2022</v>
      </c>
      <c r="D15" t="s">
        <v>62</v>
      </c>
      <c r="E15">
        <v>210.9</v>
      </c>
      <c r="F15">
        <v>170.6</v>
      </c>
      <c r="G15">
        <v>168.4</v>
      </c>
      <c r="H15">
        <v>182.5</v>
      </c>
      <c r="I15">
        <v>177.1</v>
      </c>
      <c r="J15">
        <v>213.1</v>
      </c>
      <c r="K15">
        <v>167.3</v>
      </c>
      <c r="L15">
        <v>122.2</v>
      </c>
      <c r="M15">
        <v>189.7</v>
      </c>
      <c r="N15">
        <v>160.5</v>
      </c>
      <c r="O15">
        <v>188.9</v>
      </c>
      <c r="P15">
        <v>180.4</v>
      </c>
      <c r="Q15">
        <v>162.1</v>
      </c>
      <c r="T15" s="16" t="s">
        <v>11</v>
      </c>
      <c r="U15" s="7">
        <v>8.5852478839177682</v>
      </c>
      <c r="V15" s="7">
        <v>7.8125</v>
      </c>
      <c r="W15" s="7">
        <v>8.2629674306393177</v>
      </c>
    </row>
    <row r="16" spans="1:23" x14ac:dyDescent="0.3">
      <c r="B16" t="s">
        <v>45</v>
      </c>
      <c r="C16">
        <v>2022</v>
      </c>
      <c r="D16" t="s">
        <v>62</v>
      </c>
      <c r="E16">
        <v>206.5</v>
      </c>
      <c r="F16">
        <v>169.2</v>
      </c>
      <c r="G16">
        <v>168.1</v>
      </c>
      <c r="H16">
        <v>192.4</v>
      </c>
      <c r="I16">
        <v>172.9</v>
      </c>
      <c r="J16">
        <v>186.7</v>
      </c>
      <c r="K16">
        <v>167.2</v>
      </c>
      <c r="L16">
        <v>120.9</v>
      </c>
      <c r="M16">
        <v>193.6</v>
      </c>
      <c r="N16">
        <v>168.8</v>
      </c>
      <c r="O16">
        <v>186.3</v>
      </c>
      <c r="P16">
        <v>176.3</v>
      </c>
      <c r="Q16">
        <v>160.30000000000001</v>
      </c>
      <c r="T16" s="16" t="s">
        <v>2</v>
      </c>
      <c r="U16" s="7">
        <v>-16.722729456991821</v>
      </c>
      <c r="V16" s="7">
        <v>-12.831389183457045</v>
      </c>
      <c r="W16" s="7">
        <v>-15.380786460925835</v>
      </c>
    </row>
    <row r="17" spans="2:37" x14ac:dyDescent="0.3">
      <c r="B17" t="s">
        <v>41</v>
      </c>
      <c r="C17">
        <v>2022</v>
      </c>
      <c r="D17" t="s">
        <v>63</v>
      </c>
      <c r="E17">
        <v>206.7</v>
      </c>
      <c r="F17">
        <v>169</v>
      </c>
      <c r="G17">
        <v>169.5</v>
      </c>
      <c r="H17">
        <v>194.1</v>
      </c>
      <c r="I17">
        <v>164.1</v>
      </c>
      <c r="J17">
        <v>176.9</v>
      </c>
      <c r="K17">
        <v>169</v>
      </c>
      <c r="L17">
        <v>120.8</v>
      </c>
      <c r="M17">
        <v>199.1</v>
      </c>
      <c r="N17">
        <v>175.4</v>
      </c>
      <c r="O17">
        <v>184.8</v>
      </c>
      <c r="P17">
        <v>175.5</v>
      </c>
      <c r="Q17">
        <v>162.9</v>
      </c>
      <c r="T17" s="16" t="s">
        <v>3</v>
      </c>
      <c r="U17" s="7">
        <v>1.9300361881785213</v>
      </c>
      <c r="V17" s="7">
        <v>0.97645031591040621</v>
      </c>
      <c r="W17" s="7">
        <v>1.4731879787860933</v>
      </c>
    </row>
    <row r="18" spans="2:37" x14ac:dyDescent="0.3">
      <c r="B18" t="s">
        <v>44</v>
      </c>
      <c r="C18">
        <v>2022</v>
      </c>
      <c r="D18" t="s">
        <v>63</v>
      </c>
      <c r="E18">
        <v>213.7</v>
      </c>
      <c r="F18">
        <v>170.9</v>
      </c>
      <c r="G18">
        <v>170.1</v>
      </c>
      <c r="H18">
        <v>179.3</v>
      </c>
      <c r="I18">
        <v>167.5</v>
      </c>
      <c r="J18">
        <v>220.8</v>
      </c>
      <c r="K18">
        <v>169.2</v>
      </c>
      <c r="L18">
        <v>123.1</v>
      </c>
      <c r="M18">
        <v>193.6</v>
      </c>
      <c r="N18">
        <v>161.1</v>
      </c>
      <c r="O18">
        <v>190.4</v>
      </c>
      <c r="P18">
        <v>181.8</v>
      </c>
      <c r="Q18">
        <v>164.9</v>
      </c>
      <c r="T18" s="16" t="s">
        <v>4</v>
      </c>
      <c r="U18" s="7">
        <v>-11.117752540346695</v>
      </c>
      <c r="V18" s="7">
        <v>-12.529550827423167</v>
      </c>
      <c r="W18" s="7">
        <v>-11.684037301151953</v>
      </c>
    </row>
    <row r="19" spans="2:37" x14ac:dyDescent="0.3">
      <c r="B19" t="s">
        <v>45</v>
      </c>
      <c r="C19">
        <v>2022</v>
      </c>
      <c r="D19" t="s">
        <v>63</v>
      </c>
      <c r="E19">
        <v>209.2</v>
      </c>
      <c r="F19">
        <v>169.7</v>
      </c>
      <c r="G19">
        <v>169.7</v>
      </c>
      <c r="H19">
        <v>188.7</v>
      </c>
      <c r="I19">
        <v>165.7</v>
      </c>
      <c r="J19">
        <v>191.8</v>
      </c>
      <c r="K19">
        <v>169.1</v>
      </c>
      <c r="L19">
        <v>121.6</v>
      </c>
      <c r="M19">
        <v>197.3</v>
      </c>
      <c r="N19">
        <v>169.4</v>
      </c>
      <c r="O19">
        <v>187.4</v>
      </c>
      <c r="P19">
        <v>177.8</v>
      </c>
      <c r="Q19">
        <v>163.5</v>
      </c>
      <c r="T19" s="16" t="s">
        <v>6</v>
      </c>
      <c r="U19" s="7">
        <v>6.2575941676792297</v>
      </c>
      <c r="V19" s="7">
        <v>8.1295843520782469</v>
      </c>
      <c r="W19" s="7">
        <v>6.8776628119293877</v>
      </c>
    </row>
    <row r="20" spans="2:37" x14ac:dyDescent="0.3">
      <c r="B20" t="s">
        <v>41</v>
      </c>
      <c r="C20">
        <v>2022</v>
      </c>
      <c r="D20" t="s">
        <v>64</v>
      </c>
      <c r="E20">
        <v>208.8</v>
      </c>
      <c r="F20">
        <v>170.3</v>
      </c>
      <c r="G20">
        <v>170.9</v>
      </c>
      <c r="H20">
        <v>191.6</v>
      </c>
      <c r="I20">
        <v>162.19999999999999</v>
      </c>
      <c r="J20">
        <v>184.8</v>
      </c>
      <c r="K20">
        <v>169.7</v>
      </c>
      <c r="L20">
        <v>121.1</v>
      </c>
      <c r="M20">
        <v>201.6</v>
      </c>
      <c r="N20">
        <v>175.8</v>
      </c>
      <c r="O20">
        <v>185.6</v>
      </c>
      <c r="P20">
        <v>177.4</v>
      </c>
      <c r="Q20">
        <v>164.7</v>
      </c>
      <c r="T20" s="16" t="s">
        <v>7</v>
      </c>
      <c r="U20" s="7">
        <v>2.3509655751469452</v>
      </c>
      <c r="V20" s="7">
        <v>2.3064250411861593</v>
      </c>
      <c r="W20" s="7">
        <v>2.3352793994995804</v>
      </c>
    </row>
    <row r="21" spans="2:37" x14ac:dyDescent="0.3">
      <c r="B21" t="s">
        <v>44</v>
      </c>
      <c r="C21">
        <v>2022</v>
      </c>
      <c r="D21" t="s">
        <v>64</v>
      </c>
      <c r="E21">
        <v>214.9</v>
      </c>
      <c r="F21">
        <v>171.9</v>
      </c>
      <c r="G21">
        <v>171</v>
      </c>
      <c r="H21">
        <v>177.7</v>
      </c>
      <c r="I21">
        <v>165.7</v>
      </c>
      <c r="J21">
        <v>228.6</v>
      </c>
      <c r="K21">
        <v>169.9</v>
      </c>
      <c r="L21">
        <v>123.4</v>
      </c>
      <c r="M21">
        <v>196.4</v>
      </c>
      <c r="N21">
        <v>161.6</v>
      </c>
      <c r="O21">
        <v>191.5</v>
      </c>
      <c r="P21">
        <v>183.3</v>
      </c>
      <c r="Q21">
        <v>166.4</v>
      </c>
      <c r="T21" s="16" t="s">
        <v>8</v>
      </c>
      <c r="U21" s="7">
        <v>16.993118051879296</v>
      </c>
      <c r="V21" s="7">
        <v>15.476839237057224</v>
      </c>
      <c r="W21" s="7">
        <v>16.515232495991452</v>
      </c>
    </row>
    <row r="22" spans="2:37" x14ac:dyDescent="0.3">
      <c r="B22" t="s">
        <v>45</v>
      </c>
      <c r="C22">
        <v>2022</v>
      </c>
      <c r="D22" t="s">
        <v>64</v>
      </c>
      <c r="E22">
        <v>210.9</v>
      </c>
      <c r="F22">
        <v>170.9</v>
      </c>
      <c r="G22">
        <v>170.9</v>
      </c>
      <c r="H22">
        <v>186.5</v>
      </c>
      <c r="I22">
        <v>163.80000000000001</v>
      </c>
      <c r="J22">
        <v>199.7</v>
      </c>
      <c r="K22">
        <v>169.8</v>
      </c>
      <c r="L22">
        <v>121.9</v>
      </c>
      <c r="M22">
        <v>199.9</v>
      </c>
      <c r="N22">
        <v>169.9</v>
      </c>
      <c r="O22">
        <v>188.3</v>
      </c>
      <c r="P22">
        <v>179.6</v>
      </c>
      <c r="Q22">
        <v>165.2</v>
      </c>
      <c r="T22" s="16" t="s">
        <v>13</v>
      </c>
      <c r="U22" s="7">
        <v>2.5832376578645238</v>
      </c>
      <c r="V22" s="7">
        <v>4.2740414833438161</v>
      </c>
      <c r="W22" s="7">
        <v>3.2757593805836809</v>
      </c>
    </row>
    <row r="23" spans="2:37" x14ac:dyDescent="0.3">
      <c r="B23" t="s">
        <v>41</v>
      </c>
      <c r="C23">
        <v>2022</v>
      </c>
      <c r="D23" t="s">
        <v>65</v>
      </c>
      <c r="E23">
        <v>207.2</v>
      </c>
      <c r="F23">
        <v>180.2</v>
      </c>
      <c r="G23">
        <v>172.3</v>
      </c>
      <c r="H23">
        <v>194</v>
      </c>
      <c r="I23">
        <v>159.1</v>
      </c>
      <c r="J23">
        <v>171.6</v>
      </c>
      <c r="K23">
        <v>170.2</v>
      </c>
      <c r="L23">
        <v>121.5</v>
      </c>
      <c r="M23">
        <v>204.8</v>
      </c>
      <c r="N23">
        <v>176.4</v>
      </c>
      <c r="O23">
        <v>186.9</v>
      </c>
      <c r="P23">
        <v>176.6</v>
      </c>
      <c r="Q23">
        <v>166.9</v>
      </c>
      <c r="T23" s="16" t="s">
        <v>14</v>
      </c>
      <c r="U23" s="7">
        <v>5.0577240241891088</v>
      </c>
      <c r="V23" s="7">
        <v>6.1191626409017585</v>
      </c>
      <c r="W23" s="7">
        <v>5.6008700380641558</v>
      </c>
    </row>
    <row r="24" spans="2:37" x14ac:dyDescent="0.3">
      <c r="B24" t="s">
        <v>44</v>
      </c>
      <c r="C24">
        <v>2022</v>
      </c>
      <c r="D24" t="s">
        <v>65</v>
      </c>
      <c r="E24">
        <v>213.4</v>
      </c>
      <c r="F24">
        <v>183.2</v>
      </c>
      <c r="G24">
        <v>172.3</v>
      </c>
      <c r="H24">
        <v>180</v>
      </c>
      <c r="I24">
        <v>162.6</v>
      </c>
      <c r="J24">
        <v>205.5</v>
      </c>
      <c r="K24">
        <v>171</v>
      </c>
      <c r="L24">
        <v>123.4</v>
      </c>
      <c r="M24">
        <v>198.8</v>
      </c>
      <c r="N24">
        <v>162.1</v>
      </c>
      <c r="O24">
        <v>192.4</v>
      </c>
      <c r="P24">
        <v>181.3</v>
      </c>
      <c r="Q24">
        <v>168.4</v>
      </c>
      <c r="T24" s="16" t="s">
        <v>40</v>
      </c>
      <c r="U24" s="7">
        <v>2.5522041763341101</v>
      </c>
      <c r="V24" s="7">
        <v>2.1193530395984284</v>
      </c>
      <c r="W24" s="7">
        <v>2.4013722126929609</v>
      </c>
    </row>
    <row r="25" spans="2:37" x14ac:dyDescent="0.3">
      <c r="B25" t="s">
        <v>45</v>
      </c>
      <c r="C25">
        <v>2022</v>
      </c>
      <c r="D25" t="s">
        <v>65</v>
      </c>
      <c r="E25">
        <v>209.4</v>
      </c>
      <c r="F25">
        <v>181.4</v>
      </c>
      <c r="G25">
        <v>172.3</v>
      </c>
      <c r="H25">
        <v>188.9</v>
      </c>
      <c r="I25">
        <v>160.69999999999999</v>
      </c>
      <c r="J25">
        <v>183.1</v>
      </c>
      <c r="K25">
        <v>170.5</v>
      </c>
      <c r="L25">
        <v>122.1</v>
      </c>
      <c r="M25">
        <v>202.8</v>
      </c>
      <c r="N25">
        <v>170.4</v>
      </c>
      <c r="O25">
        <v>189.5</v>
      </c>
      <c r="P25">
        <v>178.3</v>
      </c>
      <c r="Q25">
        <v>167.4</v>
      </c>
      <c r="T25" s="16" t="s">
        <v>1</v>
      </c>
      <c r="U25" s="7">
        <v>12.613784135240557</v>
      </c>
      <c r="V25" s="7">
        <v>10.920634920634914</v>
      </c>
      <c r="W25" s="7">
        <v>12.064516129032251</v>
      </c>
    </row>
    <row r="26" spans="2:37" x14ac:dyDescent="0.3">
      <c r="B26" t="s">
        <v>41</v>
      </c>
      <c r="C26">
        <v>2022</v>
      </c>
      <c r="D26" t="s">
        <v>66</v>
      </c>
      <c r="E26">
        <v>206.9</v>
      </c>
      <c r="F26">
        <v>189.1</v>
      </c>
      <c r="G26">
        <v>173.4</v>
      </c>
      <c r="H26">
        <v>193.9</v>
      </c>
      <c r="I26">
        <v>156.69999999999999</v>
      </c>
      <c r="J26">
        <v>150.19999999999999</v>
      </c>
      <c r="K26">
        <v>170.5</v>
      </c>
      <c r="L26">
        <v>121.2</v>
      </c>
      <c r="M26">
        <v>207.5</v>
      </c>
      <c r="N26">
        <v>176.8</v>
      </c>
      <c r="O26">
        <v>187.7</v>
      </c>
      <c r="P26">
        <v>174.4</v>
      </c>
      <c r="Q26">
        <v>168.8</v>
      </c>
    </row>
    <row r="27" spans="2:37" x14ac:dyDescent="0.3">
      <c r="B27" t="s">
        <v>44</v>
      </c>
      <c r="C27">
        <v>2022</v>
      </c>
      <c r="D27" t="s">
        <v>66</v>
      </c>
      <c r="E27">
        <v>212.9</v>
      </c>
      <c r="F27">
        <v>191.9</v>
      </c>
      <c r="G27">
        <v>173.9</v>
      </c>
      <c r="H27">
        <v>179.1</v>
      </c>
      <c r="I27">
        <v>159.5</v>
      </c>
      <c r="J27">
        <v>178.7</v>
      </c>
      <c r="K27">
        <v>171.3</v>
      </c>
      <c r="L27">
        <v>123.1</v>
      </c>
      <c r="M27">
        <v>200.5</v>
      </c>
      <c r="N27">
        <v>162.80000000000001</v>
      </c>
      <c r="O27">
        <v>193.3</v>
      </c>
      <c r="P27">
        <v>178.6</v>
      </c>
      <c r="Q27">
        <v>170.2</v>
      </c>
    </row>
    <row r="28" spans="2:37" x14ac:dyDescent="0.3">
      <c r="B28" t="s">
        <v>45</v>
      </c>
      <c r="C28">
        <v>2022</v>
      </c>
      <c r="D28" t="s">
        <v>66</v>
      </c>
      <c r="E28">
        <v>209</v>
      </c>
      <c r="F28">
        <v>190.2</v>
      </c>
      <c r="G28">
        <v>173.6</v>
      </c>
      <c r="H28">
        <v>188.5</v>
      </c>
      <c r="I28">
        <v>158</v>
      </c>
      <c r="J28">
        <v>159.9</v>
      </c>
      <c r="K28">
        <v>170.8</v>
      </c>
      <c r="L28">
        <v>121.8</v>
      </c>
      <c r="M28">
        <v>205.2</v>
      </c>
      <c r="N28">
        <v>171</v>
      </c>
      <c r="O28">
        <v>190.3</v>
      </c>
      <c r="P28">
        <v>175.9</v>
      </c>
      <c r="Q28">
        <v>169.2</v>
      </c>
    </row>
    <row r="29" spans="2:37" x14ac:dyDescent="0.3">
      <c r="B29" t="s">
        <v>41</v>
      </c>
      <c r="C29">
        <v>2023</v>
      </c>
      <c r="D29" t="s">
        <v>56</v>
      </c>
      <c r="E29">
        <v>208.3</v>
      </c>
      <c r="F29">
        <v>192.9</v>
      </c>
      <c r="G29">
        <v>174.3</v>
      </c>
      <c r="H29">
        <v>192.6</v>
      </c>
      <c r="I29">
        <v>156.30000000000001</v>
      </c>
      <c r="J29">
        <v>142.9</v>
      </c>
      <c r="K29">
        <v>170.7</v>
      </c>
      <c r="L29">
        <v>120.3</v>
      </c>
      <c r="M29">
        <v>210.5</v>
      </c>
      <c r="N29">
        <v>176.9</v>
      </c>
      <c r="O29">
        <v>188.5</v>
      </c>
      <c r="P29">
        <v>175</v>
      </c>
      <c r="Q29">
        <v>174</v>
      </c>
    </row>
    <row r="30" spans="2:37" x14ac:dyDescent="0.3">
      <c r="B30" t="s">
        <v>44</v>
      </c>
      <c r="C30">
        <v>2023</v>
      </c>
      <c r="D30" t="s">
        <v>56</v>
      </c>
      <c r="E30">
        <v>215.2</v>
      </c>
      <c r="F30">
        <v>197</v>
      </c>
      <c r="G30">
        <v>175.2</v>
      </c>
      <c r="H30">
        <v>178</v>
      </c>
      <c r="I30">
        <v>160.5</v>
      </c>
      <c r="J30">
        <v>175.3</v>
      </c>
      <c r="K30">
        <v>171.2</v>
      </c>
      <c r="L30">
        <v>122.7</v>
      </c>
      <c r="M30">
        <v>204.3</v>
      </c>
      <c r="N30">
        <v>163.69999999999999</v>
      </c>
      <c r="O30">
        <v>194.3</v>
      </c>
      <c r="P30">
        <v>179.5</v>
      </c>
      <c r="Q30">
        <v>173.3</v>
      </c>
    </row>
    <row r="31" spans="2:37" x14ac:dyDescent="0.3">
      <c r="B31" t="s">
        <v>45</v>
      </c>
      <c r="C31">
        <v>2023</v>
      </c>
      <c r="D31" t="s">
        <v>56</v>
      </c>
      <c r="E31">
        <v>210.7</v>
      </c>
      <c r="F31">
        <v>194.5</v>
      </c>
      <c r="G31">
        <v>174.6</v>
      </c>
      <c r="H31">
        <v>187.2</v>
      </c>
      <c r="I31">
        <v>158.30000000000001</v>
      </c>
      <c r="J31">
        <v>153.9</v>
      </c>
      <c r="K31">
        <v>170.9</v>
      </c>
      <c r="L31">
        <v>121.1</v>
      </c>
      <c r="M31">
        <v>208.4</v>
      </c>
      <c r="N31">
        <v>171.4</v>
      </c>
      <c r="O31">
        <v>191.2</v>
      </c>
      <c r="P31">
        <v>176.7</v>
      </c>
      <c r="Q31">
        <v>173.8</v>
      </c>
    </row>
    <row r="32" spans="2:37" x14ac:dyDescent="0.3">
      <c r="B32" t="s">
        <v>41</v>
      </c>
      <c r="C32">
        <v>2023</v>
      </c>
      <c r="D32" t="s">
        <v>57</v>
      </c>
      <c r="E32">
        <v>205.2</v>
      </c>
      <c r="F32">
        <v>173.9</v>
      </c>
      <c r="G32">
        <v>177</v>
      </c>
      <c r="H32">
        <v>183.4</v>
      </c>
      <c r="I32">
        <v>167.2</v>
      </c>
      <c r="J32">
        <v>140.9</v>
      </c>
      <c r="K32">
        <v>170.4</v>
      </c>
      <c r="L32">
        <v>119.1</v>
      </c>
      <c r="M32">
        <v>212.1</v>
      </c>
      <c r="N32">
        <v>177.6</v>
      </c>
      <c r="O32">
        <v>189.9</v>
      </c>
      <c r="P32">
        <v>174.8</v>
      </c>
      <c r="Q32">
        <v>174.2</v>
      </c>
      <c r="Z32" t="s">
        <v>133</v>
      </c>
      <c r="AA32" s="1" t="s">
        <v>140</v>
      </c>
      <c r="AB32" s="1"/>
      <c r="AC32" s="1"/>
      <c r="AD32" s="1"/>
      <c r="AE32" s="1"/>
      <c r="AF32" s="1"/>
      <c r="AG32" s="1"/>
      <c r="AH32" s="1"/>
      <c r="AI32" s="1"/>
      <c r="AJ32" s="1"/>
      <c r="AK32" s="1"/>
    </row>
    <row r="33" spans="2:17" x14ac:dyDescent="0.3">
      <c r="B33" t="s">
        <v>44</v>
      </c>
      <c r="C33">
        <v>2023</v>
      </c>
      <c r="D33" t="s">
        <v>57</v>
      </c>
      <c r="E33">
        <v>212.2</v>
      </c>
      <c r="F33">
        <v>177.2</v>
      </c>
      <c r="G33">
        <v>177.9</v>
      </c>
      <c r="H33">
        <v>172.2</v>
      </c>
      <c r="I33">
        <v>172.1</v>
      </c>
      <c r="J33">
        <v>175.8</v>
      </c>
      <c r="K33">
        <v>172.2</v>
      </c>
      <c r="L33">
        <v>121.9</v>
      </c>
      <c r="M33">
        <v>204.8</v>
      </c>
      <c r="N33">
        <v>164.9</v>
      </c>
      <c r="O33">
        <v>196.6</v>
      </c>
      <c r="P33">
        <v>180.7</v>
      </c>
      <c r="Q33">
        <v>174.7</v>
      </c>
    </row>
    <row r="34" spans="2:17" x14ac:dyDescent="0.3">
      <c r="B34" t="s">
        <v>45</v>
      </c>
      <c r="C34">
        <v>2023</v>
      </c>
      <c r="D34" t="s">
        <v>57</v>
      </c>
      <c r="E34">
        <v>207.7</v>
      </c>
      <c r="F34">
        <v>175.2</v>
      </c>
      <c r="G34">
        <v>177.3</v>
      </c>
      <c r="H34">
        <v>179.3</v>
      </c>
      <c r="I34">
        <v>169.5</v>
      </c>
      <c r="J34">
        <v>152.69999999999999</v>
      </c>
      <c r="K34">
        <v>171</v>
      </c>
      <c r="L34">
        <v>120</v>
      </c>
      <c r="M34">
        <v>209.7</v>
      </c>
      <c r="N34">
        <v>172.3</v>
      </c>
      <c r="O34">
        <v>193</v>
      </c>
      <c r="P34">
        <v>177</v>
      </c>
      <c r="Q34">
        <v>174.4</v>
      </c>
    </row>
    <row r="35" spans="2:17" x14ac:dyDescent="0.3">
      <c r="B35" t="s">
        <v>41</v>
      </c>
      <c r="C35">
        <v>2023</v>
      </c>
      <c r="D35" t="s">
        <v>58</v>
      </c>
      <c r="E35">
        <v>205.2</v>
      </c>
      <c r="F35">
        <v>173.9</v>
      </c>
      <c r="G35">
        <v>177</v>
      </c>
      <c r="H35">
        <v>183.3</v>
      </c>
      <c r="I35">
        <v>167.2</v>
      </c>
      <c r="J35">
        <v>140.9</v>
      </c>
      <c r="K35">
        <v>170.5</v>
      </c>
      <c r="L35">
        <v>119.1</v>
      </c>
      <c r="M35">
        <v>212.1</v>
      </c>
      <c r="N35">
        <v>177.6</v>
      </c>
      <c r="O35">
        <v>189.9</v>
      </c>
      <c r="P35">
        <v>174.8</v>
      </c>
      <c r="Q35">
        <v>174.3</v>
      </c>
    </row>
    <row r="36" spans="2:17" x14ac:dyDescent="0.3">
      <c r="B36" t="s">
        <v>44</v>
      </c>
      <c r="C36">
        <v>2023</v>
      </c>
      <c r="D36" t="s">
        <v>58</v>
      </c>
      <c r="E36">
        <v>212.2</v>
      </c>
      <c r="F36">
        <v>177.2</v>
      </c>
      <c r="G36">
        <v>177.9</v>
      </c>
      <c r="H36">
        <v>172.2</v>
      </c>
      <c r="I36">
        <v>172.1</v>
      </c>
      <c r="J36">
        <v>175.9</v>
      </c>
      <c r="K36">
        <v>172.2</v>
      </c>
      <c r="L36">
        <v>121.9</v>
      </c>
      <c r="M36">
        <v>204.8</v>
      </c>
      <c r="N36">
        <v>164.9</v>
      </c>
      <c r="O36">
        <v>196.6</v>
      </c>
      <c r="P36">
        <v>180.8</v>
      </c>
      <c r="Q36">
        <v>174.7</v>
      </c>
    </row>
    <row r="37" spans="2:17" x14ac:dyDescent="0.3">
      <c r="B37" t="s">
        <v>45</v>
      </c>
      <c r="C37">
        <v>2023</v>
      </c>
      <c r="D37" t="s">
        <v>58</v>
      </c>
      <c r="E37">
        <v>207.7</v>
      </c>
      <c r="F37">
        <v>175.2</v>
      </c>
      <c r="G37">
        <v>177.3</v>
      </c>
      <c r="H37">
        <v>179.2</v>
      </c>
      <c r="I37">
        <v>169.5</v>
      </c>
      <c r="J37">
        <v>152.80000000000001</v>
      </c>
      <c r="K37">
        <v>171.1</v>
      </c>
      <c r="L37">
        <v>120</v>
      </c>
      <c r="M37">
        <v>209.7</v>
      </c>
      <c r="N37">
        <v>172.3</v>
      </c>
      <c r="O37">
        <v>193</v>
      </c>
      <c r="P37">
        <v>177</v>
      </c>
      <c r="Q37">
        <v>174.4</v>
      </c>
    </row>
    <row r="38" spans="2:17" x14ac:dyDescent="0.3">
      <c r="B38" t="s">
        <v>41</v>
      </c>
      <c r="C38">
        <v>2023</v>
      </c>
      <c r="D38" t="s">
        <v>59</v>
      </c>
      <c r="E38">
        <v>206.9</v>
      </c>
      <c r="F38">
        <v>167.9</v>
      </c>
      <c r="G38">
        <v>178.2</v>
      </c>
      <c r="H38">
        <v>178.5</v>
      </c>
      <c r="I38">
        <v>173.7</v>
      </c>
      <c r="J38">
        <v>142.80000000000001</v>
      </c>
      <c r="K38">
        <v>172.8</v>
      </c>
      <c r="L38">
        <v>120.4</v>
      </c>
      <c r="M38">
        <v>215.5</v>
      </c>
      <c r="N38">
        <v>178.2</v>
      </c>
      <c r="O38">
        <v>190.5</v>
      </c>
      <c r="P38">
        <v>175.5</v>
      </c>
      <c r="Q38">
        <v>173.3</v>
      </c>
    </row>
    <row r="39" spans="2:17" x14ac:dyDescent="0.3">
      <c r="B39" t="s">
        <v>44</v>
      </c>
      <c r="C39">
        <v>2023</v>
      </c>
      <c r="D39" t="s">
        <v>59</v>
      </c>
      <c r="E39">
        <v>213.7</v>
      </c>
      <c r="F39">
        <v>172.4</v>
      </c>
      <c r="G39">
        <v>178.8</v>
      </c>
      <c r="H39">
        <v>168.7</v>
      </c>
      <c r="I39">
        <v>179.2</v>
      </c>
      <c r="J39">
        <v>179.9</v>
      </c>
      <c r="K39">
        <v>174.7</v>
      </c>
      <c r="L39">
        <v>123.1</v>
      </c>
      <c r="M39">
        <v>207.8</v>
      </c>
      <c r="N39">
        <v>165.5</v>
      </c>
      <c r="O39">
        <v>197</v>
      </c>
      <c r="P39">
        <v>182.1</v>
      </c>
      <c r="Q39">
        <v>174.8</v>
      </c>
    </row>
    <row r="40" spans="2:17" x14ac:dyDescent="0.3">
      <c r="B40" t="s">
        <v>45</v>
      </c>
      <c r="C40">
        <v>2023</v>
      </c>
      <c r="D40" t="s">
        <v>59</v>
      </c>
      <c r="E40">
        <v>209.3</v>
      </c>
      <c r="F40">
        <v>169.6</v>
      </c>
      <c r="G40">
        <v>178.4</v>
      </c>
      <c r="H40">
        <v>174.9</v>
      </c>
      <c r="I40">
        <v>176.3</v>
      </c>
      <c r="J40">
        <v>155.4</v>
      </c>
      <c r="K40">
        <v>173.4</v>
      </c>
      <c r="L40">
        <v>121.3</v>
      </c>
      <c r="M40">
        <v>212.9</v>
      </c>
      <c r="N40">
        <v>172.9</v>
      </c>
      <c r="O40">
        <v>193.5</v>
      </c>
      <c r="P40">
        <v>177.9</v>
      </c>
      <c r="Q40">
        <v>173.8</v>
      </c>
    </row>
    <row r="41" spans="2:17" x14ac:dyDescent="0.3">
      <c r="B41" t="s">
        <v>41</v>
      </c>
      <c r="C41">
        <v>2023</v>
      </c>
      <c r="D41" t="s">
        <v>42</v>
      </c>
      <c r="E41">
        <v>211.5</v>
      </c>
      <c r="F41">
        <v>171</v>
      </c>
      <c r="G41">
        <v>179.6</v>
      </c>
      <c r="H41">
        <v>173.3</v>
      </c>
      <c r="I41">
        <v>169</v>
      </c>
      <c r="J41">
        <v>148.69999999999999</v>
      </c>
      <c r="K41">
        <v>174.9</v>
      </c>
      <c r="L41">
        <v>121.9</v>
      </c>
      <c r="M41">
        <v>221</v>
      </c>
      <c r="N41">
        <v>178.7</v>
      </c>
      <c r="O41">
        <v>191.1</v>
      </c>
      <c r="P41">
        <v>176.8</v>
      </c>
      <c r="Q41">
        <v>173.2</v>
      </c>
    </row>
    <row r="42" spans="2:17" x14ac:dyDescent="0.3">
      <c r="B42" t="s">
        <v>44</v>
      </c>
      <c r="C42">
        <v>2023</v>
      </c>
      <c r="D42" t="s">
        <v>42</v>
      </c>
      <c r="E42">
        <v>219.4</v>
      </c>
      <c r="F42">
        <v>176.7</v>
      </c>
      <c r="G42">
        <v>179.4</v>
      </c>
      <c r="H42">
        <v>164.4</v>
      </c>
      <c r="I42">
        <v>175.8</v>
      </c>
      <c r="J42">
        <v>185</v>
      </c>
      <c r="K42">
        <v>176.9</v>
      </c>
      <c r="L42">
        <v>124.2</v>
      </c>
      <c r="M42">
        <v>211.9</v>
      </c>
      <c r="N42">
        <v>165.9</v>
      </c>
      <c r="O42">
        <v>197.7</v>
      </c>
      <c r="P42">
        <v>183.1</v>
      </c>
      <c r="Q42">
        <v>174.7</v>
      </c>
    </row>
    <row r="43" spans="2:17" x14ac:dyDescent="0.3">
      <c r="B43" t="s">
        <v>45</v>
      </c>
      <c r="C43">
        <v>2023</v>
      </c>
      <c r="D43" t="s">
        <v>42</v>
      </c>
      <c r="E43">
        <v>214.3</v>
      </c>
      <c r="F43">
        <v>173.2</v>
      </c>
      <c r="G43">
        <v>179.5</v>
      </c>
      <c r="H43">
        <v>170</v>
      </c>
      <c r="I43">
        <v>172.2</v>
      </c>
      <c r="J43">
        <v>161</v>
      </c>
      <c r="K43">
        <v>175.6</v>
      </c>
      <c r="L43">
        <v>122.7</v>
      </c>
      <c r="M43">
        <v>218</v>
      </c>
      <c r="N43">
        <v>173.4</v>
      </c>
      <c r="O43">
        <v>194.2</v>
      </c>
      <c r="P43">
        <v>179.1</v>
      </c>
      <c r="Q43">
        <v>173.7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17E4F-A09B-448C-98C2-0DE439835B20}">
  <dimension ref="A3:BI274"/>
  <sheetViews>
    <sheetView zoomScale="72" workbookViewId="0">
      <selection activeCell="O4" sqref="O4"/>
    </sheetView>
  </sheetViews>
  <sheetFormatPr defaultRowHeight="14.4" x14ac:dyDescent="0.3"/>
  <cols>
    <col min="7" max="7" width="12.5546875" bestFit="1" customWidth="1"/>
    <col min="8" max="8" width="8" bestFit="1" customWidth="1"/>
    <col min="9" max="9" width="12.44140625" bestFit="1" customWidth="1"/>
    <col min="25" max="25" width="15.44140625" customWidth="1"/>
    <col min="27" max="27" width="12.5546875" bestFit="1" customWidth="1"/>
    <col min="28" max="28" width="13.77734375" bestFit="1" customWidth="1"/>
    <col min="29" max="29" width="14.6640625" bestFit="1" customWidth="1"/>
    <col min="44" max="44" width="10.5546875" customWidth="1"/>
    <col min="48" max="48" width="9.77734375" customWidth="1"/>
    <col min="50" max="50" width="12.44140625" customWidth="1"/>
  </cols>
  <sheetData>
    <row r="3" spans="1:50" ht="23.4" x14ac:dyDescent="0.45">
      <c r="A3" s="57" t="s">
        <v>108</v>
      </c>
      <c r="B3" s="10" t="s">
        <v>109</v>
      </c>
      <c r="C3" s="10"/>
      <c r="D3" s="10"/>
      <c r="E3" s="10"/>
      <c r="F3" s="10"/>
      <c r="G3" s="10"/>
      <c r="H3" s="10"/>
      <c r="I3" s="10"/>
      <c r="J3" s="10"/>
      <c r="K3" s="10"/>
    </row>
    <row r="4" spans="1:50" ht="18" x14ac:dyDescent="0.35">
      <c r="V4" s="13" t="s">
        <v>126</v>
      </c>
      <c r="W4" s="4"/>
      <c r="X4" s="4"/>
      <c r="AQ4" s="13" t="s">
        <v>127</v>
      </c>
      <c r="AR4" s="13"/>
    </row>
    <row r="6" spans="1:50" ht="18" x14ac:dyDescent="0.35">
      <c r="B6" s="13" t="s">
        <v>121</v>
      </c>
      <c r="C6" s="4"/>
      <c r="AQ6" s="6" t="s">
        <v>37</v>
      </c>
      <c r="AR6" s="6" t="s">
        <v>38</v>
      </c>
      <c r="AS6" s="6" t="s">
        <v>39</v>
      </c>
      <c r="AT6" s="14" t="s">
        <v>78</v>
      </c>
    </row>
    <row r="7" spans="1:50" x14ac:dyDescent="0.3">
      <c r="V7" s="6" t="s">
        <v>37</v>
      </c>
      <c r="W7" s="6" t="s">
        <v>38</v>
      </c>
      <c r="X7" s="6" t="s">
        <v>39</v>
      </c>
      <c r="Y7" s="23" t="s">
        <v>27</v>
      </c>
      <c r="AQ7" t="s">
        <v>41</v>
      </c>
      <c r="AR7">
        <v>2017</v>
      </c>
      <c r="AS7" t="s">
        <v>56</v>
      </c>
      <c r="AT7" s="24">
        <v>115.53749999999999</v>
      </c>
    </row>
    <row r="8" spans="1:50" x14ac:dyDescent="0.3">
      <c r="B8" s="6" t="s">
        <v>37</v>
      </c>
      <c r="C8" s="6" t="s">
        <v>38</v>
      </c>
      <c r="D8" s="6" t="s">
        <v>39</v>
      </c>
      <c r="E8" s="6" t="s">
        <v>32</v>
      </c>
      <c r="V8" t="s">
        <v>41</v>
      </c>
      <c r="W8">
        <v>2017</v>
      </c>
      <c r="X8" t="s">
        <v>56</v>
      </c>
      <c r="Y8" s="24">
        <v>126.89999999999999</v>
      </c>
      <c r="AQ8" t="s">
        <v>44</v>
      </c>
      <c r="AR8">
        <v>2017</v>
      </c>
      <c r="AS8" t="s">
        <v>56</v>
      </c>
      <c r="AT8" s="24">
        <v>113.97499999999998</v>
      </c>
    </row>
    <row r="9" spans="1:50" x14ac:dyDescent="0.3">
      <c r="B9" t="s">
        <v>41</v>
      </c>
      <c r="C9">
        <v>2017</v>
      </c>
      <c r="D9" t="s">
        <v>56</v>
      </c>
      <c r="E9">
        <v>129.9</v>
      </c>
      <c r="G9" s="1" t="s">
        <v>70</v>
      </c>
      <c r="H9" t="s">
        <v>72</v>
      </c>
      <c r="V9" t="s">
        <v>44</v>
      </c>
      <c r="W9">
        <v>2017</v>
      </c>
      <c r="X9" t="s">
        <v>56</v>
      </c>
      <c r="Y9" s="24">
        <v>123.2</v>
      </c>
      <c r="AQ9" t="s">
        <v>45</v>
      </c>
      <c r="AR9">
        <v>2017</v>
      </c>
      <c r="AS9" t="s">
        <v>56</v>
      </c>
      <c r="AT9" s="24">
        <v>114.875</v>
      </c>
    </row>
    <row r="10" spans="1:50" x14ac:dyDescent="0.3">
      <c r="B10" t="s">
        <v>44</v>
      </c>
      <c r="C10">
        <v>2017</v>
      </c>
      <c r="D10" t="s">
        <v>56</v>
      </c>
      <c r="E10">
        <v>122.6</v>
      </c>
      <c r="V10" t="s">
        <v>45</v>
      </c>
      <c r="W10">
        <v>2017</v>
      </c>
      <c r="X10" t="s">
        <v>56</v>
      </c>
      <c r="Y10" s="24">
        <v>124.83333333333333</v>
      </c>
      <c r="AQ10" t="s">
        <v>41</v>
      </c>
      <c r="AR10">
        <v>2017</v>
      </c>
      <c r="AS10" t="s">
        <v>57</v>
      </c>
      <c r="AT10" s="24">
        <v>115.28750000000001</v>
      </c>
    </row>
    <row r="11" spans="1:50" x14ac:dyDescent="0.3">
      <c r="B11" t="s">
        <v>45</v>
      </c>
      <c r="C11">
        <v>2017</v>
      </c>
      <c r="D11" t="s">
        <v>56</v>
      </c>
      <c r="E11">
        <v>127.1</v>
      </c>
      <c r="V11" t="s">
        <v>41</v>
      </c>
      <c r="W11">
        <v>2017</v>
      </c>
      <c r="X11" t="s">
        <v>57</v>
      </c>
      <c r="Y11" s="24">
        <v>127.36666666666667</v>
      </c>
      <c r="AQ11" t="s">
        <v>44</v>
      </c>
      <c r="AR11">
        <v>2017</v>
      </c>
      <c r="AS11" t="s">
        <v>57</v>
      </c>
      <c r="AT11" s="24">
        <v>113.16249999999999</v>
      </c>
    </row>
    <row r="12" spans="1:50" x14ac:dyDescent="0.3">
      <c r="B12" t="s">
        <v>41</v>
      </c>
      <c r="C12">
        <v>2017</v>
      </c>
      <c r="D12" t="s">
        <v>57</v>
      </c>
      <c r="E12">
        <v>130.1</v>
      </c>
      <c r="V12" t="s">
        <v>44</v>
      </c>
      <c r="W12">
        <v>2017</v>
      </c>
      <c r="X12" t="s">
        <v>57</v>
      </c>
      <c r="Y12" s="24">
        <v>123.36666666666667</v>
      </c>
      <c r="AQ12" t="s">
        <v>45</v>
      </c>
      <c r="AR12">
        <v>2017</v>
      </c>
      <c r="AS12" t="s">
        <v>57</v>
      </c>
      <c r="AT12" s="24">
        <v>114.41249999999999</v>
      </c>
    </row>
    <row r="13" spans="1:50" x14ac:dyDescent="0.3">
      <c r="B13" t="s">
        <v>44</v>
      </c>
      <c r="C13">
        <v>2017</v>
      </c>
      <c r="D13" t="s">
        <v>57</v>
      </c>
      <c r="E13">
        <v>122.9</v>
      </c>
      <c r="V13" t="s">
        <v>45</v>
      </c>
      <c r="W13">
        <v>2017</v>
      </c>
      <c r="X13" t="s">
        <v>57</v>
      </c>
      <c r="Y13" s="24">
        <v>125.13333333333333</v>
      </c>
      <c r="AQ13" t="s">
        <v>41</v>
      </c>
      <c r="AR13">
        <v>2017</v>
      </c>
      <c r="AS13" t="s">
        <v>58</v>
      </c>
      <c r="AT13" s="24">
        <v>114.3875</v>
      </c>
    </row>
    <row r="14" spans="1:50" x14ac:dyDescent="0.3">
      <c r="B14" t="s">
        <v>45</v>
      </c>
      <c r="C14">
        <v>2017</v>
      </c>
      <c r="D14" t="s">
        <v>57</v>
      </c>
      <c r="E14">
        <v>127.4</v>
      </c>
      <c r="G14" s="25" t="s">
        <v>110</v>
      </c>
      <c r="H14" s="4" t="s">
        <v>123</v>
      </c>
      <c r="I14" s="50" t="s">
        <v>112</v>
      </c>
      <c r="V14" t="s">
        <v>41</v>
      </c>
      <c r="W14">
        <v>2017</v>
      </c>
      <c r="X14" t="s">
        <v>58</v>
      </c>
      <c r="Y14" s="24">
        <v>127.76666666666667</v>
      </c>
      <c r="AA14" s="25" t="s">
        <v>110</v>
      </c>
      <c r="AB14" s="4" t="s">
        <v>124</v>
      </c>
      <c r="AC14" s="4" t="s">
        <v>125</v>
      </c>
      <c r="AQ14" t="s">
        <v>44</v>
      </c>
      <c r="AR14">
        <v>2017</v>
      </c>
      <c r="AS14" t="s">
        <v>58</v>
      </c>
      <c r="AT14" s="24">
        <v>113.05</v>
      </c>
      <c r="AV14" s="25" t="s">
        <v>110</v>
      </c>
      <c r="AW14" s="25" t="s">
        <v>111</v>
      </c>
      <c r="AX14" s="4" t="s">
        <v>112</v>
      </c>
    </row>
    <row r="15" spans="1:50" x14ac:dyDescent="0.3">
      <c r="B15" t="s">
        <v>41</v>
      </c>
      <c r="C15">
        <v>2017</v>
      </c>
      <c r="D15" t="s">
        <v>58</v>
      </c>
      <c r="E15">
        <v>130.6</v>
      </c>
      <c r="G15" s="26" t="s">
        <v>113</v>
      </c>
      <c r="H15" s="27">
        <v>0.11041405388590879</v>
      </c>
      <c r="I15" s="27">
        <v>0.18254442323657158</v>
      </c>
      <c r="V15" t="s">
        <v>44</v>
      </c>
      <c r="W15">
        <v>2017</v>
      </c>
      <c r="X15" t="s">
        <v>58</v>
      </c>
      <c r="Y15" s="24">
        <v>123.60000000000001</v>
      </c>
      <c r="AA15" s="26" t="s">
        <v>113</v>
      </c>
      <c r="AB15" s="27">
        <v>0.14945262663390946</v>
      </c>
      <c r="AC15" s="27">
        <v>0.12994166689789566</v>
      </c>
      <c r="AQ15" t="s">
        <v>45</v>
      </c>
      <c r="AR15">
        <v>2017</v>
      </c>
      <c r="AS15" t="s">
        <v>58</v>
      </c>
      <c r="AT15" s="24">
        <v>113.83750000000001</v>
      </c>
      <c r="AV15" s="26" t="s">
        <v>113</v>
      </c>
      <c r="AW15" s="30">
        <v>0.12650673370853854</v>
      </c>
      <c r="AX15" s="30">
        <v>-0.10590258380252959</v>
      </c>
    </row>
    <row r="16" spans="1:50" x14ac:dyDescent="0.3">
      <c r="B16" t="s">
        <v>44</v>
      </c>
      <c r="C16">
        <v>2017</v>
      </c>
      <c r="D16" t="s">
        <v>58</v>
      </c>
      <c r="E16">
        <v>123.1</v>
      </c>
      <c r="G16" s="26" t="s">
        <v>114</v>
      </c>
      <c r="H16" s="27">
        <v>0.23605452564755761</v>
      </c>
      <c r="I16" s="27">
        <v>0.19089200780537399</v>
      </c>
      <c r="V16" t="s">
        <v>45</v>
      </c>
      <c r="W16">
        <v>2017</v>
      </c>
      <c r="X16" t="s">
        <v>58</v>
      </c>
      <c r="Y16" s="24">
        <v>125.46666666666665</v>
      </c>
      <c r="AA16" s="26" t="s">
        <v>114</v>
      </c>
      <c r="AB16" s="27">
        <v>0.17823302031018098</v>
      </c>
      <c r="AC16" s="27">
        <v>0.14037255779171087</v>
      </c>
      <c r="AQ16" t="s">
        <v>41</v>
      </c>
      <c r="AR16">
        <v>2017</v>
      </c>
      <c r="AS16" t="s">
        <v>59</v>
      </c>
      <c r="AT16" s="24">
        <v>114.22499999999999</v>
      </c>
      <c r="AV16" s="26" t="s">
        <v>114</v>
      </c>
      <c r="AW16" s="30">
        <v>-0.23844569661212028</v>
      </c>
      <c r="AX16" s="30">
        <v>9.5225219581125467E-2</v>
      </c>
    </row>
    <row r="17" spans="2:50" x14ac:dyDescent="0.3">
      <c r="B17" t="s">
        <v>45</v>
      </c>
      <c r="C17">
        <v>2017</v>
      </c>
      <c r="D17" t="s">
        <v>58</v>
      </c>
      <c r="E17">
        <v>127.8</v>
      </c>
      <c r="G17" s="26" t="s">
        <v>115</v>
      </c>
      <c r="H17" s="27">
        <v>0.18224797936024656</v>
      </c>
      <c r="I17" s="27">
        <v>-2.604109573309887E-2</v>
      </c>
      <c r="V17" t="s">
        <v>41</v>
      </c>
      <c r="W17">
        <v>2017</v>
      </c>
      <c r="X17" t="s">
        <v>59</v>
      </c>
      <c r="Y17" s="24">
        <v>127.73333333333333</v>
      </c>
      <c r="AA17" s="26" t="s">
        <v>115</v>
      </c>
      <c r="AB17" s="27">
        <v>0.25736447431047849</v>
      </c>
      <c r="AC17" s="27">
        <v>2.3532696979109889E-2</v>
      </c>
      <c r="AQ17" t="s">
        <v>44</v>
      </c>
      <c r="AR17">
        <v>2017</v>
      </c>
      <c r="AS17" t="s">
        <v>59</v>
      </c>
      <c r="AT17" s="24">
        <v>113.36249999999998</v>
      </c>
      <c r="AV17" s="26" t="s">
        <v>115</v>
      </c>
      <c r="AW17" s="30">
        <v>0.52156877662395285</v>
      </c>
      <c r="AX17" s="30">
        <v>0.50286253625402211</v>
      </c>
    </row>
    <row r="18" spans="2:50" x14ac:dyDescent="0.3">
      <c r="B18" t="s">
        <v>41</v>
      </c>
      <c r="C18">
        <v>2017</v>
      </c>
      <c r="D18" t="s">
        <v>59</v>
      </c>
      <c r="E18">
        <v>131</v>
      </c>
      <c r="G18" s="28" t="s">
        <v>116</v>
      </c>
      <c r="H18" s="27">
        <v>0</v>
      </c>
      <c r="I18" s="27">
        <v>0</v>
      </c>
      <c r="V18" t="s">
        <v>44</v>
      </c>
      <c r="W18">
        <v>2017</v>
      </c>
      <c r="X18" t="s">
        <v>59</v>
      </c>
      <c r="Y18" s="24">
        <v>123.5</v>
      </c>
      <c r="AA18" s="29" t="s">
        <v>122</v>
      </c>
      <c r="AB18" s="27">
        <v>0</v>
      </c>
      <c r="AC18" s="27">
        <v>0</v>
      </c>
      <c r="AQ18" t="s">
        <v>45</v>
      </c>
      <c r="AR18">
        <v>2017</v>
      </c>
      <c r="AS18" t="s">
        <v>59</v>
      </c>
      <c r="AT18" s="24">
        <v>113.825</v>
      </c>
      <c r="AV18" s="26" t="s">
        <v>122</v>
      </c>
      <c r="AW18" s="30">
        <v>0</v>
      </c>
      <c r="AX18" s="30">
        <v>0</v>
      </c>
    </row>
    <row r="19" spans="2:50" x14ac:dyDescent="0.3">
      <c r="B19" t="s">
        <v>44</v>
      </c>
      <c r="C19">
        <v>2017</v>
      </c>
      <c r="D19" t="s">
        <v>59</v>
      </c>
      <c r="E19">
        <v>123.4</v>
      </c>
      <c r="G19" s="26" t="s">
        <v>117</v>
      </c>
      <c r="H19" s="27">
        <v>0.16939168731254536</v>
      </c>
      <c r="I19" s="27">
        <v>0.21554035819638212</v>
      </c>
      <c r="V19" t="s">
        <v>45</v>
      </c>
      <c r="W19">
        <v>2017</v>
      </c>
      <c r="X19" t="s">
        <v>59</v>
      </c>
      <c r="Y19" s="24">
        <v>125.39999999999999</v>
      </c>
      <c r="AA19" s="26" t="s">
        <v>117</v>
      </c>
      <c r="AB19" s="27">
        <v>0.1643814946353728</v>
      </c>
      <c r="AC19" s="27">
        <v>0.31897558342219118</v>
      </c>
      <c r="AQ19" t="s">
        <v>41</v>
      </c>
      <c r="AR19">
        <v>2017</v>
      </c>
      <c r="AS19" t="s">
        <v>42</v>
      </c>
      <c r="AT19" s="24">
        <v>114.03750000000001</v>
      </c>
      <c r="AV19" s="26" t="s">
        <v>117</v>
      </c>
      <c r="AW19" s="30">
        <v>8.0471683156410762E-2</v>
      </c>
      <c r="AX19" s="30">
        <v>0.11455903004332162</v>
      </c>
    </row>
    <row r="20" spans="2:50" x14ac:dyDescent="0.3">
      <c r="B20" t="s">
        <v>45</v>
      </c>
      <c r="C20">
        <v>2017</v>
      </c>
      <c r="D20" t="s">
        <v>59</v>
      </c>
      <c r="E20">
        <v>128.1</v>
      </c>
      <c r="G20" s="26" t="s">
        <v>118</v>
      </c>
      <c r="H20" s="27">
        <v>0.16425996256872513</v>
      </c>
      <c r="I20" s="27">
        <v>0.21554035819638212</v>
      </c>
      <c r="V20" t="s">
        <v>41</v>
      </c>
      <c r="W20">
        <v>2017</v>
      </c>
      <c r="X20" t="s">
        <v>42</v>
      </c>
      <c r="Y20" s="24">
        <v>128.36666666666667</v>
      </c>
      <c r="AA20" s="26" t="s">
        <v>118</v>
      </c>
      <c r="AB20" s="27">
        <v>0.15593184744849128</v>
      </c>
      <c r="AC20" s="27">
        <v>0.2605161665891258</v>
      </c>
      <c r="AQ20" t="s">
        <v>44</v>
      </c>
      <c r="AR20">
        <v>2017</v>
      </c>
      <c r="AS20" t="s">
        <v>42</v>
      </c>
      <c r="AT20" s="24">
        <v>112.85</v>
      </c>
      <c r="AV20" s="26" t="s">
        <v>118</v>
      </c>
      <c r="AW20" s="30">
        <v>0.4148523395630293</v>
      </c>
      <c r="AX20" s="30">
        <v>0.28991335287345832</v>
      </c>
    </row>
    <row r="21" spans="2:50" x14ac:dyDescent="0.3">
      <c r="B21" t="s">
        <v>41</v>
      </c>
      <c r="C21">
        <v>2017</v>
      </c>
      <c r="D21" t="s">
        <v>42</v>
      </c>
      <c r="E21">
        <v>131.4</v>
      </c>
      <c r="G21" s="26" t="s">
        <v>119</v>
      </c>
      <c r="H21" s="27">
        <v>0.13763179122501645</v>
      </c>
      <c r="I21" s="27">
        <v>0.22152394829838909</v>
      </c>
      <c r="V21" t="s">
        <v>44</v>
      </c>
      <c r="W21">
        <v>2017</v>
      </c>
      <c r="X21" t="s">
        <v>42</v>
      </c>
      <c r="Y21" s="24">
        <v>123.63333333333333</v>
      </c>
      <c r="AA21" s="26" t="s">
        <v>119</v>
      </c>
      <c r="AB21" s="27">
        <v>9.4636536661567142E-2</v>
      </c>
      <c r="AC21" s="27">
        <v>0.12666132831996654</v>
      </c>
      <c r="AQ21" t="s">
        <v>45</v>
      </c>
      <c r="AR21">
        <v>2017</v>
      </c>
      <c r="AS21" t="s">
        <v>42</v>
      </c>
      <c r="AT21" s="24">
        <v>113.52499999999999</v>
      </c>
      <c r="AV21" s="26" t="s">
        <v>119</v>
      </c>
      <c r="AW21" s="30">
        <v>9.5046163560188898E-2</v>
      </c>
      <c r="AX21" s="30">
        <v>0.10334244505060212</v>
      </c>
    </row>
    <row r="22" spans="2:50" x14ac:dyDescent="0.3">
      <c r="B22" t="s">
        <v>44</v>
      </c>
      <c r="C22">
        <v>2017</v>
      </c>
      <c r="D22" t="s">
        <v>42</v>
      </c>
      <c r="E22">
        <v>123.6</v>
      </c>
      <c r="G22" s="26" t="s">
        <v>120</v>
      </c>
      <c r="H22" s="27">
        <v>1</v>
      </c>
      <c r="I22" s="27">
        <v>1</v>
      </c>
      <c r="V22" t="s">
        <v>45</v>
      </c>
      <c r="W22">
        <v>2017</v>
      </c>
      <c r="X22" t="s">
        <v>42</v>
      </c>
      <c r="Y22" s="24">
        <v>125.73333333333335</v>
      </c>
      <c r="AA22" s="26" t="s">
        <v>120</v>
      </c>
      <c r="AB22" s="27">
        <v>1</v>
      </c>
      <c r="AC22" s="27">
        <v>1</v>
      </c>
      <c r="AQ22" t="s">
        <v>41</v>
      </c>
      <c r="AR22">
        <v>2017</v>
      </c>
      <c r="AS22" t="s">
        <v>60</v>
      </c>
      <c r="AT22" s="24">
        <v>114.58749999999999</v>
      </c>
      <c r="AV22" s="26" t="s">
        <v>120</v>
      </c>
      <c r="AW22" s="30">
        <v>1</v>
      </c>
      <c r="AX22" s="30">
        <v>1</v>
      </c>
    </row>
    <row r="23" spans="2:50" x14ac:dyDescent="0.3">
      <c r="B23" t="s">
        <v>45</v>
      </c>
      <c r="C23">
        <v>2017</v>
      </c>
      <c r="D23" t="s">
        <v>42</v>
      </c>
      <c r="E23">
        <v>128.4</v>
      </c>
      <c r="V23" t="s">
        <v>41</v>
      </c>
      <c r="W23">
        <v>2017</v>
      </c>
      <c r="X23" t="s">
        <v>60</v>
      </c>
      <c r="Y23" s="24">
        <v>128.70000000000002</v>
      </c>
      <c r="AQ23" t="s">
        <v>44</v>
      </c>
      <c r="AR23">
        <v>2017</v>
      </c>
      <c r="AS23" t="s">
        <v>60</v>
      </c>
      <c r="AT23" s="24">
        <v>114.21250000000001</v>
      </c>
    </row>
    <row r="24" spans="2:50" x14ac:dyDescent="0.3">
      <c r="B24" t="s">
        <v>41</v>
      </c>
      <c r="C24">
        <v>2017</v>
      </c>
      <c r="D24" t="s">
        <v>60</v>
      </c>
      <c r="E24">
        <v>131.30000000000001</v>
      </c>
      <c r="V24" t="s">
        <v>44</v>
      </c>
      <c r="W24">
        <v>2017</v>
      </c>
      <c r="X24" t="s">
        <v>60</v>
      </c>
      <c r="Y24" s="24">
        <v>123.7</v>
      </c>
      <c r="AQ24" t="s">
        <v>45</v>
      </c>
      <c r="AR24">
        <v>2017</v>
      </c>
      <c r="AS24" t="s">
        <v>60</v>
      </c>
      <c r="AT24" s="24">
        <v>114.38750000000002</v>
      </c>
      <c r="AW24" s="52"/>
      <c r="AX24" s="52"/>
    </row>
    <row r="25" spans="2:50" x14ac:dyDescent="0.3">
      <c r="B25" t="s">
        <v>44</v>
      </c>
      <c r="C25">
        <v>2017</v>
      </c>
      <c r="D25" t="s">
        <v>60</v>
      </c>
      <c r="E25">
        <v>123.8</v>
      </c>
      <c r="V25" t="s">
        <v>45</v>
      </c>
      <c r="W25">
        <v>2017</v>
      </c>
      <c r="X25" t="s">
        <v>60</v>
      </c>
      <c r="Y25" s="24">
        <v>125.93333333333334</v>
      </c>
      <c r="AQ25" t="s">
        <v>41</v>
      </c>
      <c r="AR25">
        <v>2017</v>
      </c>
      <c r="AS25" t="s">
        <v>61</v>
      </c>
      <c r="AT25" s="24">
        <v>117.78749999999999</v>
      </c>
      <c r="AW25" s="52"/>
      <c r="AX25" s="52"/>
    </row>
    <row r="26" spans="2:50" x14ac:dyDescent="0.3">
      <c r="B26" t="s">
        <v>45</v>
      </c>
      <c r="C26">
        <v>2017</v>
      </c>
      <c r="D26" t="s">
        <v>60</v>
      </c>
      <c r="E26">
        <v>128.5</v>
      </c>
      <c r="V26" t="s">
        <v>41</v>
      </c>
      <c r="W26">
        <v>2017</v>
      </c>
      <c r="X26" t="s">
        <v>61</v>
      </c>
      <c r="Y26" s="24">
        <v>129.43333333333331</v>
      </c>
      <c r="AQ26" t="s">
        <v>44</v>
      </c>
      <c r="AR26">
        <v>2017</v>
      </c>
      <c r="AS26" t="s">
        <v>61</v>
      </c>
      <c r="AT26" s="24">
        <v>118.08750000000001</v>
      </c>
    </row>
    <row r="27" spans="2:50" x14ac:dyDescent="0.3">
      <c r="B27" t="s">
        <v>41</v>
      </c>
      <c r="C27">
        <v>2017</v>
      </c>
      <c r="D27" t="s">
        <v>61</v>
      </c>
      <c r="E27">
        <v>132.1</v>
      </c>
      <c r="V27" t="s">
        <v>44</v>
      </c>
      <c r="W27">
        <v>2017</v>
      </c>
      <c r="X27" t="s">
        <v>61</v>
      </c>
      <c r="Y27" s="24">
        <v>124.06666666666666</v>
      </c>
      <c r="AQ27" t="s">
        <v>45</v>
      </c>
      <c r="AR27">
        <v>2017</v>
      </c>
      <c r="AS27" t="s">
        <v>61</v>
      </c>
      <c r="AT27" s="24">
        <v>117.78749999999999</v>
      </c>
    </row>
    <row r="28" spans="2:50" x14ac:dyDescent="0.3">
      <c r="B28" t="s">
        <v>44</v>
      </c>
      <c r="C28">
        <v>2017</v>
      </c>
      <c r="D28" t="s">
        <v>61</v>
      </c>
      <c r="E28">
        <v>125</v>
      </c>
      <c r="V28" t="s">
        <v>45</v>
      </c>
      <c r="W28">
        <v>2017</v>
      </c>
      <c r="X28" t="s">
        <v>61</v>
      </c>
      <c r="Y28" s="24">
        <v>126.46666666666665</v>
      </c>
      <c r="AQ28" t="s">
        <v>41</v>
      </c>
      <c r="AR28">
        <v>2017</v>
      </c>
      <c r="AS28" t="s">
        <v>62</v>
      </c>
      <c r="AT28" s="24">
        <v>119.88749999999999</v>
      </c>
    </row>
    <row r="29" spans="2:50" x14ac:dyDescent="0.3">
      <c r="B29" t="s">
        <v>45</v>
      </c>
      <c r="C29">
        <v>2017</v>
      </c>
      <c r="D29" t="s">
        <v>61</v>
      </c>
      <c r="E29">
        <v>129.4</v>
      </c>
      <c r="V29" t="s">
        <v>41</v>
      </c>
      <c r="W29">
        <v>2017</v>
      </c>
      <c r="X29" t="s">
        <v>62</v>
      </c>
      <c r="Y29" s="24">
        <v>130.66666666666666</v>
      </c>
      <c r="AQ29" t="s">
        <v>44</v>
      </c>
      <c r="AR29">
        <v>2017</v>
      </c>
      <c r="AS29" t="s">
        <v>62</v>
      </c>
      <c r="AT29" s="24">
        <v>119.1125</v>
      </c>
    </row>
    <row r="30" spans="2:50" x14ac:dyDescent="0.3">
      <c r="B30" t="s">
        <v>41</v>
      </c>
      <c r="C30">
        <v>2017</v>
      </c>
      <c r="D30" t="s">
        <v>62</v>
      </c>
      <c r="E30">
        <v>133</v>
      </c>
      <c r="V30" t="s">
        <v>44</v>
      </c>
      <c r="W30">
        <v>2017</v>
      </c>
      <c r="X30" t="s">
        <v>62</v>
      </c>
      <c r="Y30" s="24">
        <v>124.8</v>
      </c>
      <c r="AQ30" t="s">
        <v>45</v>
      </c>
      <c r="AR30">
        <v>2017</v>
      </c>
      <c r="AS30" t="s">
        <v>62</v>
      </c>
      <c r="AT30" s="24">
        <v>119.50000000000001</v>
      </c>
    </row>
    <row r="31" spans="2:50" x14ac:dyDescent="0.3">
      <c r="B31" t="s">
        <v>44</v>
      </c>
      <c r="C31">
        <v>2017</v>
      </c>
      <c r="D31" t="s">
        <v>62</v>
      </c>
      <c r="E31">
        <v>125.7</v>
      </c>
      <c r="V31" t="s">
        <v>45</v>
      </c>
      <c r="W31">
        <v>2017</v>
      </c>
      <c r="X31" t="s">
        <v>62</v>
      </c>
      <c r="Y31" s="24">
        <v>127.39999999999999</v>
      </c>
      <c r="AQ31" t="s">
        <v>41</v>
      </c>
      <c r="AR31">
        <v>2017</v>
      </c>
      <c r="AS31" t="s">
        <v>63</v>
      </c>
      <c r="AT31" s="24">
        <v>118.875</v>
      </c>
    </row>
    <row r="32" spans="2:50" x14ac:dyDescent="0.3">
      <c r="B32" t="s">
        <v>45</v>
      </c>
      <c r="C32">
        <v>2017</v>
      </c>
      <c r="D32" t="s">
        <v>62</v>
      </c>
      <c r="E32">
        <v>130.19999999999999</v>
      </c>
      <c r="V32" t="s">
        <v>41</v>
      </c>
      <c r="W32">
        <v>2017</v>
      </c>
      <c r="X32" t="s">
        <v>63</v>
      </c>
      <c r="Y32" s="24">
        <v>131.03333333333333</v>
      </c>
      <c r="AQ32" t="s">
        <v>44</v>
      </c>
      <c r="AR32">
        <v>2017</v>
      </c>
      <c r="AS32" t="s">
        <v>63</v>
      </c>
      <c r="AT32" s="24">
        <v>116.3125</v>
      </c>
    </row>
    <row r="33" spans="2:61" x14ac:dyDescent="0.3">
      <c r="B33" t="s">
        <v>41</v>
      </c>
      <c r="C33">
        <v>2017</v>
      </c>
      <c r="D33" t="s">
        <v>63</v>
      </c>
      <c r="E33">
        <v>133.4</v>
      </c>
      <c r="V33" t="s">
        <v>44</v>
      </c>
      <c r="W33">
        <v>2017</v>
      </c>
      <c r="X33" t="s">
        <v>63</v>
      </c>
      <c r="Y33" s="24">
        <v>125.36666666666667</v>
      </c>
      <c r="AQ33" t="s">
        <v>45</v>
      </c>
      <c r="AR33">
        <v>2017</v>
      </c>
      <c r="AS33" t="s">
        <v>63</v>
      </c>
      <c r="AT33" s="24">
        <v>117.83750000000001</v>
      </c>
    </row>
    <row r="34" spans="2:61" x14ac:dyDescent="0.3">
      <c r="B34" t="s">
        <v>44</v>
      </c>
      <c r="C34">
        <v>2017</v>
      </c>
      <c r="D34" t="s">
        <v>63</v>
      </c>
      <c r="E34">
        <v>126.1</v>
      </c>
      <c r="V34" t="s">
        <v>45</v>
      </c>
      <c r="W34">
        <v>2017</v>
      </c>
      <c r="X34" t="s">
        <v>63</v>
      </c>
      <c r="Y34" s="24">
        <v>127.86666666666667</v>
      </c>
      <c r="AQ34" t="s">
        <v>41</v>
      </c>
      <c r="AR34">
        <v>2017</v>
      </c>
      <c r="AS34" t="s">
        <v>64</v>
      </c>
      <c r="AT34" s="24">
        <v>119.3125</v>
      </c>
    </row>
    <row r="35" spans="2:61" x14ac:dyDescent="0.3">
      <c r="B35" t="s">
        <v>45</v>
      </c>
      <c r="C35">
        <v>2017</v>
      </c>
      <c r="D35" t="s">
        <v>63</v>
      </c>
      <c r="E35">
        <v>130.6</v>
      </c>
      <c r="V35" t="s">
        <v>41</v>
      </c>
      <c r="W35">
        <v>2017</v>
      </c>
      <c r="X35" t="s">
        <v>64</v>
      </c>
      <c r="Y35" s="24">
        <v>131.36666666666667</v>
      </c>
      <c r="AF35" s="51" t="s">
        <v>133</v>
      </c>
      <c r="AG35" s="1" t="s">
        <v>143</v>
      </c>
      <c r="AH35" s="1"/>
      <c r="AI35" s="1"/>
      <c r="AJ35" s="1"/>
      <c r="AK35" s="1"/>
      <c r="AL35" s="1"/>
      <c r="AM35" s="1"/>
      <c r="AN35" s="1"/>
      <c r="AQ35" t="s">
        <v>44</v>
      </c>
      <c r="AR35">
        <v>2017</v>
      </c>
      <c r="AS35" t="s">
        <v>64</v>
      </c>
      <c r="AT35" s="24">
        <v>117.76249999999999</v>
      </c>
      <c r="AZ35" t="s">
        <v>133</v>
      </c>
      <c r="BA35" s="1" t="s">
        <v>144</v>
      </c>
      <c r="BB35" s="1"/>
      <c r="BC35" s="1"/>
      <c r="BD35" s="1"/>
      <c r="BE35" s="1"/>
      <c r="BF35" s="1"/>
      <c r="BG35" s="1"/>
      <c r="BH35" s="1"/>
      <c r="BI35" s="1"/>
    </row>
    <row r="36" spans="2:61" x14ac:dyDescent="0.3">
      <c r="B36" t="s">
        <v>41</v>
      </c>
      <c r="C36">
        <v>2017</v>
      </c>
      <c r="D36" t="s">
        <v>64</v>
      </c>
      <c r="E36">
        <v>134.19999999999999</v>
      </c>
      <c r="V36" t="s">
        <v>44</v>
      </c>
      <c r="W36">
        <v>2017</v>
      </c>
      <c r="X36" t="s">
        <v>64</v>
      </c>
      <c r="Y36" s="24">
        <v>125.36666666666667</v>
      </c>
      <c r="AF36" s="51"/>
      <c r="AG36" t="s">
        <v>74</v>
      </c>
      <c r="AH36" s="1"/>
      <c r="AI36" s="1"/>
      <c r="AJ36" s="1"/>
      <c r="AK36" s="1"/>
      <c r="AL36" s="1"/>
      <c r="AM36" s="1"/>
      <c r="AN36" s="1"/>
      <c r="AQ36" t="s">
        <v>45</v>
      </c>
      <c r="AR36">
        <v>2017</v>
      </c>
      <c r="AS36" t="s">
        <v>64</v>
      </c>
      <c r="AT36" s="24">
        <v>118.6</v>
      </c>
      <c r="BA36" s="1" t="s">
        <v>145</v>
      </c>
      <c r="BB36" s="1"/>
      <c r="BC36" s="1"/>
      <c r="BD36" s="1"/>
      <c r="BE36" s="1"/>
      <c r="BF36" s="1"/>
      <c r="BG36" s="1"/>
      <c r="BH36" s="1"/>
      <c r="BI36" s="1"/>
    </row>
    <row r="37" spans="2:61" x14ac:dyDescent="0.3">
      <c r="B37" t="s">
        <v>44</v>
      </c>
      <c r="C37">
        <v>2017</v>
      </c>
      <c r="D37" t="s">
        <v>64</v>
      </c>
      <c r="E37">
        <v>126.6</v>
      </c>
      <c r="K37" s="51" t="s">
        <v>133</v>
      </c>
      <c r="L37" s="1" t="s">
        <v>141</v>
      </c>
      <c r="M37" s="1"/>
      <c r="N37" s="1"/>
      <c r="O37" s="1"/>
      <c r="P37" s="1"/>
      <c r="Q37" s="1"/>
      <c r="R37" s="1"/>
      <c r="S37" s="1"/>
      <c r="V37" t="s">
        <v>45</v>
      </c>
      <c r="W37">
        <v>2017</v>
      </c>
      <c r="X37" t="s">
        <v>64</v>
      </c>
      <c r="Y37" s="24">
        <v>128.03333333333333</v>
      </c>
      <c r="AG37" t="s">
        <v>133</v>
      </c>
      <c r="AH37" t="s">
        <v>171</v>
      </c>
      <c r="AQ37" t="s">
        <v>41</v>
      </c>
      <c r="AR37">
        <v>2017</v>
      </c>
      <c r="AS37" t="s">
        <v>65</v>
      </c>
      <c r="AT37" s="24">
        <v>120.9375</v>
      </c>
      <c r="AZ37" t="s">
        <v>133</v>
      </c>
      <c r="BA37" s="1" t="s">
        <v>146</v>
      </c>
      <c r="BB37" s="1"/>
      <c r="BC37" s="1"/>
      <c r="BD37" s="1"/>
      <c r="BE37" s="1"/>
      <c r="BF37" s="1"/>
      <c r="BG37" s="1"/>
      <c r="BH37" s="1"/>
      <c r="BI37" s="1"/>
    </row>
    <row r="38" spans="2:61" x14ac:dyDescent="0.3">
      <c r="B38" t="s">
        <v>45</v>
      </c>
      <c r="C38">
        <v>2017</v>
      </c>
      <c r="D38" t="s">
        <v>64</v>
      </c>
      <c r="E38">
        <v>131.30000000000001</v>
      </c>
      <c r="K38" s="51"/>
      <c r="L38" t="s">
        <v>74</v>
      </c>
      <c r="M38" s="1"/>
      <c r="N38" s="1"/>
      <c r="O38" s="1"/>
      <c r="P38" s="1"/>
      <c r="Q38" s="1"/>
      <c r="R38" s="1"/>
      <c r="S38" s="1"/>
      <c r="V38" t="s">
        <v>41</v>
      </c>
      <c r="W38">
        <v>2017</v>
      </c>
      <c r="X38" t="s">
        <v>65</v>
      </c>
      <c r="Y38" s="24">
        <v>132.26666666666665</v>
      </c>
      <c r="AH38" t="s">
        <v>170</v>
      </c>
      <c r="AQ38" t="s">
        <v>44</v>
      </c>
      <c r="AR38">
        <v>2017</v>
      </c>
      <c r="AS38" t="s">
        <v>65</v>
      </c>
      <c r="AT38" s="24">
        <v>119.4375</v>
      </c>
      <c r="BA38" s="1" t="s">
        <v>74</v>
      </c>
    </row>
    <row r="39" spans="2:61" x14ac:dyDescent="0.3">
      <c r="B39" t="s">
        <v>41</v>
      </c>
      <c r="C39">
        <v>2017</v>
      </c>
      <c r="D39" t="s">
        <v>65</v>
      </c>
      <c r="E39">
        <v>135.80000000000001</v>
      </c>
      <c r="L39" t="s">
        <v>133</v>
      </c>
      <c r="M39" t="s">
        <v>157</v>
      </c>
      <c r="V39" t="s">
        <v>44</v>
      </c>
      <c r="W39">
        <v>2017</v>
      </c>
      <c r="X39" t="s">
        <v>65</v>
      </c>
      <c r="Y39" s="24">
        <v>125.66666666666667</v>
      </c>
      <c r="AG39" t="s">
        <v>133</v>
      </c>
      <c r="AH39" t="s">
        <v>173</v>
      </c>
      <c r="AQ39" t="s">
        <v>45</v>
      </c>
      <c r="AR39">
        <v>2017</v>
      </c>
      <c r="AS39" t="s">
        <v>65</v>
      </c>
      <c r="AT39" s="24">
        <v>120.23749999999998</v>
      </c>
      <c r="BA39" s="1" t="s">
        <v>133</v>
      </c>
      <c r="BB39" t="s">
        <v>182</v>
      </c>
    </row>
    <row r="40" spans="2:61" x14ac:dyDescent="0.3">
      <c r="B40" t="s">
        <v>44</v>
      </c>
      <c r="C40">
        <v>2017</v>
      </c>
      <c r="D40" t="s">
        <v>65</v>
      </c>
      <c r="E40">
        <v>127.4</v>
      </c>
      <c r="M40" t="s">
        <v>156</v>
      </c>
      <c r="V40" t="s">
        <v>45</v>
      </c>
      <c r="W40">
        <v>2017</v>
      </c>
      <c r="X40" t="s">
        <v>65</v>
      </c>
      <c r="Y40" s="24">
        <v>128.6</v>
      </c>
      <c r="AH40" t="s">
        <v>172</v>
      </c>
      <c r="AQ40" t="s">
        <v>41</v>
      </c>
      <c r="AR40">
        <v>2017</v>
      </c>
      <c r="AS40" t="s">
        <v>66</v>
      </c>
      <c r="AT40" s="24">
        <v>119.9</v>
      </c>
      <c r="BA40" s="1" t="s">
        <v>133</v>
      </c>
      <c r="BB40" t="s">
        <v>183</v>
      </c>
    </row>
    <row r="41" spans="2:61" x14ac:dyDescent="0.3">
      <c r="B41" t="s">
        <v>45</v>
      </c>
      <c r="C41">
        <v>2017</v>
      </c>
      <c r="D41" t="s">
        <v>65</v>
      </c>
      <c r="E41">
        <v>132.6</v>
      </c>
      <c r="L41" t="s">
        <v>133</v>
      </c>
      <c r="M41" t="s">
        <v>159</v>
      </c>
      <c r="V41" t="s">
        <v>41</v>
      </c>
      <c r="W41">
        <v>2017</v>
      </c>
      <c r="X41" t="s">
        <v>66</v>
      </c>
      <c r="Y41" s="24">
        <v>132.16666666666666</v>
      </c>
      <c r="AQ41" t="s">
        <v>44</v>
      </c>
      <c r="AR41">
        <v>2017</v>
      </c>
      <c r="AS41" t="s">
        <v>66</v>
      </c>
      <c r="AT41" s="24">
        <v>116.08750000000001</v>
      </c>
      <c r="BA41" s="1" t="s">
        <v>133</v>
      </c>
      <c r="BB41" t="s">
        <v>184</v>
      </c>
    </row>
    <row r="42" spans="2:61" x14ac:dyDescent="0.3">
      <c r="B42" t="s">
        <v>41</v>
      </c>
      <c r="C42">
        <v>2017</v>
      </c>
      <c r="D42" t="s">
        <v>66</v>
      </c>
      <c r="E42">
        <v>136.1</v>
      </c>
      <c r="M42" t="s">
        <v>158</v>
      </c>
      <c r="V42" t="s">
        <v>44</v>
      </c>
      <c r="W42">
        <v>2017</v>
      </c>
      <c r="X42" t="s">
        <v>66</v>
      </c>
      <c r="Y42" s="24">
        <v>125.86666666666666</v>
      </c>
      <c r="AQ42" t="s">
        <v>45</v>
      </c>
      <c r="AR42">
        <v>2017</v>
      </c>
      <c r="AS42" t="s">
        <v>66</v>
      </c>
      <c r="AT42" s="24">
        <v>118.4</v>
      </c>
      <c r="BA42" s="1" t="s">
        <v>133</v>
      </c>
      <c r="BB42" t="s">
        <v>185</v>
      </c>
    </row>
    <row r="43" spans="2:61" x14ac:dyDescent="0.3">
      <c r="B43" t="s">
        <v>44</v>
      </c>
      <c r="C43">
        <v>2017</v>
      </c>
      <c r="D43" t="s">
        <v>66</v>
      </c>
      <c r="E43">
        <v>128.19999999999999</v>
      </c>
      <c r="L43" t="s">
        <v>133</v>
      </c>
      <c r="M43" t="s">
        <v>161</v>
      </c>
      <c r="V43" t="s">
        <v>45</v>
      </c>
      <c r="W43">
        <v>2017</v>
      </c>
      <c r="X43" t="s">
        <v>66</v>
      </c>
      <c r="Y43" s="24">
        <v>128.66666666666666</v>
      </c>
      <c r="AF43" s="51" t="s">
        <v>133</v>
      </c>
      <c r="AG43" s="1" t="s">
        <v>174</v>
      </c>
      <c r="AH43" s="1"/>
      <c r="AI43" s="1"/>
      <c r="AJ43" s="1"/>
      <c r="AK43" s="1"/>
      <c r="AL43" s="1"/>
      <c r="AQ43" t="s">
        <v>41</v>
      </c>
      <c r="AR43">
        <v>2018</v>
      </c>
      <c r="AS43" t="s">
        <v>56</v>
      </c>
      <c r="AT43" s="24">
        <v>118.38750000000002</v>
      </c>
    </row>
    <row r="44" spans="2:61" x14ac:dyDescent="0.3">
      <c r="B44" t="s">
        <v>45</v>
      </c>
      <c r="C44">
        <v>2017</v>
      </c>
      <c r="D44" t="s">
        <v>66</v>
      </c>
      <c r="E44">
        <v>133.1</v>
      </c>
      <c r="M44" t="s">
        <v>160</v>
      </c>
      <c r="V44" t="s">
        <v>41</v>
      </c>
      <c r="W44">
        <v>2018</v>
      </c>
      <c r="X44" t="s">
        <v>56</v>
      </c>
      <c r="Y44" s="24">
        <v>132.86666666666667</v>
      </c>
      <c r="AG44" t="s">
        <v>74</v>
      </c>
      <c r="AQ44" t="s">
        <v>44</v>
      </c>
      <c r="AR44">
        <v>2018</v>
      </c>
      <c r="AS44" t="s">
        <v>56</v>
      </c>
      <c r="AT44" s="24">
        <v>113.93749999999999</v>
      </c>
    </row>
    <row r="45" spans="2:61" x14ac:dyDescent="0.3">
      <c r="B45" t="s">
        <v>41</v>
      </c>
      <c r="C45">
        <v>2018</v>
      </c>
      <c r="D45" t="s">
        <v>56</v>
      </c>
      <c r="E45">
        <v>136</v>
      </c>
      <c r="L45" t="s">
        <v>133</v>
      </c>
      <c r="M45" t="s">
        <v>163</v>
      </c>
      <c r="V45" t="s">
        <v>44</v>
      </c>
      <c r="W45">
        <v>2018</v>
      </c>
      <c r="X45" t="s">
        <v>56</v>
      </c>
      <c r="Y45" s="24">
        <v>126.53333333333335</v>
      </c>
      <c r="AA45" s="51"/>
      <c r="AB45" s="1"/>
      <c r="AC45" s="1"/>
      <c r="AD45" s="1"/>
      <c r="AE45" s="1"/>
      <c r="AF45" s="1"/>
      <c r="AG45" s="1" t="s">
        <v>133</v>
      </c>
      <c r="AH45" t="s">
        <v>176</v>
      </c>
      <c r="AQ45" t="s">
        <v>45</v>
      </c>
      <c r="AR45">
        <v>2018</v>
      </c>
      <c r="AS45" t="s">
        <v>56</v>
      </c>
      <c r="AT45" s="24">
        <v>116.64999999999999</v>
      </c>
    </row>
    <row r="46" spans="2:61" x14ac:dyDescent="0.3">
      <c r="B46" t="s">
        <v>44</v>
      </c>
      <c r="C46">
        <v>2018</v>
      </c>
      <c r="D46" t="s">
        <v>56</v>
      </c>
      <c r="E46">
        <v>129</v>
      </c>
      <c r="M46" t="s">
        <v>162</v>
      </c>
      <c r="V46" t="s">
        <v>45</v>
      </c>
      <c r="W46">
        <v>2018</v>
      </c>
      <c r="X46" t="s">
        <v>56</v>
      </c>
      <c r="Y46" s="24">
        <v>129.33333333333334</v>
      </c>
      <c r="AH46" t="s">
        <v>175</v>
      </c>
      <c r="AQ46" t="s">
        <v>41</v>
      </c>
      <c r="AR46">
        <v>2018</v>
      </c>
      <c r="AS46" t="s">
        <v>57</v>
      </c>
      <c r="AT46" s="24">
        <v>116.85</v>
      </c>
    </row>
    <row r="47" spans="2:61" x14ac:dyDescent="0.3">
      <c r="B47" t="s">
        <v>45</v>
      </c>
      <c r="C47">
        <v>2018</v>
      </c>
      <c r="D47" t="s">
        <v>56</v>
      </c>
      <c r="E47">
        <v>133.30000000000001</v>
      </c>
      <c r="V47" t="s">
        <v>41</v>
      </c>
      <c r="W47">
        <v>2018</v>
      </c>
      <c r="X47" t="s">
        <v>57</v>
      </c>
      <c r="Y47" s="24">
        <v>133.03333333333333</v>
      </c>
      <c r="AG47" s="1" t="s">
        <v>133</v>
      </c>
      <c r="AH47" t="s">
        <v>178</v>
      </c>
      <c r="AQ47" t="s">
        <v>44</v>
      </c>
      <c r="AR47">
        <v>2018</v>
      </c>
      <c r="AS47" t="s">
        <v>57</v>
      </c>
      <c r="AT47" s="24">
        <v>112.0625</v>
      </c>
    </row>
    <row r="48" spans="2:61" x14ac:dyDescent="0.3">
      <c r="B48" t="s">
        <v>41</v>
      </c>
      <c r="C48">
        <v>2018</v>
      </c>
      <c r="D48" t="s">
        <v>57</v>
      </c>
      <c r="E48">
        <v>136.19999999999999</v>
      </c>
      <c r="K48" s="51" t="s">
        <v>133</v>
      </c>
      <c r="L48" s="1" t="s">
        <v>142</v>
      </c>
      <c r="M48" s="1"/>
      <c r="N48" s="1"/>
      <c r="O48" s="1"/>
      <c r="P48" s="1"/>
      <c r="Q48" s="1"/>
      <c r="R48" s="1"/>
      <c r="V48" t="s">
        <v>44</v>
      </c>
      <c r="W48">
        <v>2018</v>
      </c>
      <c r="X48" t="s">
        <v>57</v>
      </c>
      <c r="Y48" s="24">
        <v>127.03333333333335</v>
      </c>
      <c r="Z48" s="51"/>
      <c r="AA48" s="1"/>
      <c r="AB48" s="1"/>
      <c r="AC48" s="1"/>
      <c r="AD48" s="1"/>
      <c r="AE48" s="1"/>
      <c r="AF48" s="1"/>
      <c r="AG48" s="1"/>
      <c r="AH48" t="s">
        <v>179</v>
      </c>
      <c r="AQ48" t="s">
        <v>45</v>
      </c>
      <c r="AR48">
        <v>2018</v>
      </c>
      <c r="AS48" t="s">
        <v>57</v>
      </c>
      <c r="AT48" s="24">
        <v>114.98750000000001</v>
      </c>
    </row>
    <row r="49" spans="2:46" x14ac:dyDescent="0.3">
      <c r="B49" t="s">
        <v>44</v>
      </c>
      <c r="C49">
        <v>2018</v>
      </c>
      <c r="D49" t="s">
        <v>57</v>
      </c>
      <c r="E49">
        <v>129.80000000000001</v>
      </c>
      <c r="V49" t="s">
        <v>45</v>
      </c>
      <c r="W49">
        <v>2018</v>
      </c>
      <c r="X49" t="s">
        <v>57</v>
      </c>
      <c r="Y49" s="24">
        <v>129.70000000000002</v>
      </c>
      <c r="AH49" t="s">
        <v>177</v>
      </c>
      <c r="AQ49" t="s">
        <v>41</v>
      </c>
      <c r="AR49">
        <v>2018</v>
      </c>
      <c r="AS49" t="s">
        <v>58</v>
      </c>
      <c r="AT49" s="24">
        <v>116.70000000000002</v>
      </c>
    </row>
    <row r="50" spans="2:46" x14ac:dyDescent="0.3">
      <c r="B50" t="s">
        <v>45</v>
      </c>
      <c r="C50">
        <v>2018</v>
      </c>
      <c r="D50" t="s">
        <v>57</v>
      </c>
      <c r="E50">
        <v>133.80000000000001</v>
      </c>
      <c r="L50" t="s">
        <v>133</v>
      </c>
      <c r="M50" t="s">
        <v>165</v>
      </c>
      <c r="V50" t="s">
        <v>41</v>
      </c>
      <c r="W50">
        <v>2018</v>
      </c>
      <c r="X50" t="s">
        <v>58</v>
      </c>
      <c r="Y50" s="24">
        <v>134.13333333333333</v>
      </c>
      <c r="AG50" t="s">
        <v>133</v>
      </c>
      <c r="AH50" t="s">
        <v>181</v>
      </c>
      <c r="AQ50" t="s">
        <v>44</v>
      </c>
      <c r="AR50">
        <v>2018</v>
      </c>
      <c r="AS50" t="s">
        <v>58</v>
      </c>
      <c r="AT50" s="24">
        <v>111.05000000000001</v>
      </c>
    </row>
    <row r="51" spans="2:46" x14ac:dyDescent="0.3">
      <c r="B51" t="s">
        <v>41</v>
      </c>
      <c r="C51">
        <v>2018</v>
      </c>
      <c r="D51" t="s">
        <v>58</v>
      </c>
      <c r="E51">
        <v>136.69999999999999</v>
      </c>
      <c r="M51" t="s">
        <v>166</v>
      </c>
      <c r="V51" t="s">
        <v>44</v>
      </c>
      <c r="W51">
        <v>2018</v>
      </c>
      <c r="X51" t="s">
        <v>58</v>
      </c>
      <c r="Y51" s="24">
        <v>127.46666666666665</v>
      </c>
      <c r="AH51" t="s">
        <v>180</v>
      </c>
      <c r="AQ51" t="s">
        <v>45</v>
      </c>
      <c r="AR51">
        <v>2018</v>
      </c>
      <c r="AS51" t="s">
        <v>58</v>
      </c>
      <c r="AT51" s="24">
        <v>114.52500000000001</v>
      </c>
    </row>
    <row r="52" spans="2:46" x14ac:dyDescent="0.3">
      <c r="B52" t="s">
        <v>44</v>
      </c>
      <c r="C52">
        <v>2018</v>
      </c>
      <c r="D52" t="s">
        <v>58</v>
      </c>
      <c r="E52">
        <v>130.5</v>
      </c>
      <c r="M52" t="s">
        <v>164</v>
      </c>
      <c r="V52" t="s">
        <v>45</v>
      </c>
      <c r="W52">
        <v>2018</v>
      </c>
      <c r="X52" t="s">
        <v>58</v>
      </c>
      <c r="Y52" s="24">
        <v>130.4</v>
      </c>
      <c r="AQ52" t="s">
        <v>41</v>
      </c>
      <c r="AR52">
        <v>2018</v>
      </c>
      <c r="AS52" t="s">
        <v>59</v>
      </c>
      <c r="AT52" s="24">
        <v>116.61250000000001</v>
      </c>
    </row>
    <row r="53" spans="2:46" x14ac:dyDescent="0.3">
      <c r="B53" t="s">
        <v>45</v>
      </c>
      <c r="C53">
        <v>2018</v>
      </c>
      <c r="D53" t="s">
        <v>58</v>
      </c>
      <c r="E53">
        <v>134.30000000000001</v>
      </c>
      <c r="L53" t="s">
        <v>133</v>
      </c>
      <c r="M53" t="s">
        <v>168</v>
      </c>
      <c r="V53" t="s">
        <v>41</v>
      </c>
      <c r="W53">
        <v>2018</v>
      </c>
      <c r="X53" t="s">
        <v>59</v>
      </c>
      <c r="Y53" s="24">
        <v>135</v>
      </c>
      <c r="AQ53" t="s">
        <v>44</v>
      </c>
      <c r="AR53">
        <v>2018</v>
      </c>
      <c r="AS53" t="s">
        <v>59</v>
      </c>
      <c r="AT53" s="24">
        <v>111.76249999999999</v>
      </c>
    </row>
    <row r="54" spans="2:46" x14ac:dyDescent="0.3">
      <c r="B54" t="s">
        <v>41</v>
      </c>
      <c r="C54">
        <v>2018</v>
      </c>
      <c r="D54" t="s">
        <v>59</v>
      </c>
      <c r="E54">
        <v>137.6</v>
      </c>
      <c r="M54" t="s">
        <v>169</v>
      </c>
      <c r="V54" t="s">
        <v>44</v>
      </c>
      <c r="W54">
        <v>2018</v>
      </c>
      <c r="X54" t="s">
        <v>59</v>
      </c>
      <c r="Y54" s="24">
        <v>128.73333333333332</v>
      </c>
      <c r="AQ54" t="s">
        <v>45</v>
      </c>
      <c r="AR54">
        <v>2018</v>
      </c>
      <c r="AS54" t="s">
        <v>59</v>
      </c>
      <c r="AT54" s="24">
        <v>114.86250000000001</v>
      </c>
    </row>
    <row r="55" spans="2:46" x14ac:dyDescent="0.3">
      <c r="B55" t="s">
        <v>44</v>
      </c>
      <c r="C55">
        <v>2018</v>
      </c>
      <c r="D55" t="s">
        <v>59</v>
      </c>
      <c r="E55">
        <v>131.30000000000001</v>
      </c>
      <c r="M55" t="s">
        <v>167</v>
      </c>
      <c r="V55" t="s">
        <v>45</v>
      </c>
      <c r="W55">
        <v>2018</v>
      </c>
      <c r="X55" t="s">
        <v>59</v>
      </c>
      <c r="Y55" s="24">
        <v>131.53333333333333</v>
      </c>
      <c r="AQ55" t="s">
        <v>41</v>
      </c>
      <c r="AR55">
        <v>2018</v>
      </c>
      <c r="AS55" t="s">
        <v>42</v>
      </c>
      <c r="AT55" s="24">
        <v>116.58749999999999</v>
      </c>
    </row>
    <row r="56" spans="2:46" x14ac:dyDescent="0.3">
      <c r="B56" t="s">
        <v>45</v>
      </c>
      <c r="C56">
        <v>2018</v>
      </c>
      <c r="D56" t="s">
        <v>59</v>
      </c>
      <c r="E56">
        <v>135.19999999999999</v>
      </c>
      <c r="V56" t="s">
        <v>41</v>
      </c>
      <c r="W56">
        <v>2018</v>
      </c>
      <c r="X56" t="s">
        <v>42</v>
      </c>
      <c r="Y56" s="24">
        <v>135.86666666666667</v>
      </c>
      <c r="AQ56" t="s">
        <v>44</v>
      </c>
      <c r="AR56">
        <v>2018</v>
      </c>
      <c r="AS56" t="s">
        <v>42</v>
      </c>
      <c r="AT56" s="24">
        <v>111.47499999999999</v>
      </c>
    </row>
    <row r="57" spans="2:46" x14ac:dyDescent="0.3">
      <c r="B57" t="s">
        <v>41</v>
      </c>
      <c r="C57">
        <v>2018</v>
      </c>
      <c r="D57" t="s">
        <v>42</v>
      </c>
      <c r="E57">
        <v>138.4</v>
      </c>
      <c r="V57" t="s">
        <v>44</v>
      </c>
      <c r="W57">
        <v>2018</v>
      </c>
      <c r="X57" t="s">
        <v>42</v>
      </c>
      <c r="Y57" s="24">
        <v>129.4</v>
      </c>
      <c r="AQ57" t="s">
        <v>45</v>
      </c>
      <c r="AR57">
        <v>2018</v>
      </c>
      <c r="AS57" t="s">
        <v>42</v>
      </c>
      <c r="AT57" s="24">
        <v>114.72500000000001</v>
      </c>
    </row>
    <row r="58" spans="2:46" x14ac:dyDescent="0.3">
      <c r="B58" t="s">
        <v>44</v>
      </c>
      <c r="C58">
        <v>2018</v>
      </c>
      <c r="D58" t="s">
        <v>42</v>
      </c>
      <c r="E58">
        <v>132</v>
      </c>
      <c r="V58" t="s">
        <v>45</v>
      </c>
      <c r="W58">
        <v>2018</v>
      </c>
      <c r="X58" t="s">
        <v>42</v>
      </c>
      <c r="Y58" s="24">
        <v>132.26666666666668</v>
      </c>
      <c r="AQ58" t="s">
        <v>41</v>
      </c>
      <c r="AR58">
        <v>2018</v>
      </c>
      <c r="AS58" t="s">
        <v>60</v>
      </c>
      <c r="AT58" s="24">
        <v>116.9</v>
      </c>
    </row>
    <row r="59" spans="2:46" x14ac:dyDescent="0.3">
      <c r="B59" t="s">
        <v>45</v>
      </c>
      <c r="C59">
        <v>2018</v>
      </c>
      <c r="D59" t="s">
        <v>42</v>
      </c>
      <c r="E59">
        <v>136</v>
      </c>
      <c r="V59" t="s">
        <v>41</v>
      </c>
      <c r="W59">
        <v>2018</v>
      </c>
      <c r="X59" t="s">
        <v>60</v>
      </c>
      <c r="Y59" s="24">
        <v>136.76666666666668</v>
      </c>
      <c r="AQ59" t="s">
        <v>44</v>
      </c>
      <c r="AR59">
        <v>2018</v>
      </c>
      <c r="AS59" t="s">
        <v>60</v>
      </c>
      <c r="AT59" s="24">
        <v>113.6</v>
      </c>
    </row>
    <row r="60" spans="2:46" x14ac:dyDescent="0.3">
      <c r="B60" t="s">
        <v>41</v>
      </c>
      <c r="C60">
        <v>2018</v>
      </c>
      <c r="D60" t="s">
        <v>60</v>
      </c>
      <c r="E60">
        <v>138.4</v>
      </c>
      <c r="V60" t="s">
        <v>44</v>
      </c>
      <c r="W60">
        <v>2018</v>
      </c>
      <c r="X60" t="s">
        <v>60</v>
      </c>
      <c r="Y60" s="24">
        <v>130.03333333333333</v>
      </c>
      <c r="AQ60" t="s">
        <v>45</v>
      </c>
      <c r="AR60">
        <v>2018</v>
      </c>
      <c r="AS60" t="s">
        <v>60</v>
      </c>
      <c r="AT60" s="24">
        <v>115.74999999999999</v>
      </c>
    </row>
    <row r="61" spans="2:46" x14ac:dyDescent="0.3">
      <c r="B61" t="s">
        <v>44</v>
      </c>
      <c r="C61">
        <v>2018</v>
      </c>
      <c r="D61" t="s">
        <v>60</v>
      </c>
      <c r="E61">
        <v>132.6</v>
      </c>
      <c r="V61" t="s">
        <v>45</v>
      </c>
      <c r="W61">
        <v>2018</v>
      </c>
      <c r="X61" t="s">
        <v>60</v>
      </c>
      <c r="Y61" s="24">
        <v>133.03333333333333</v>
      </c>
      <c r="AQ61" t="s">
        <v>41</v>
      </c>
      <c r="AR61">
        <v>2018</v>
      </c>
      <c r="AS61" t="s">
        <v>61</v>
      </c>
      <c r="AT61" s="24">
        <v>118.61249999999998</v>
      </c>
    </row>
    <row r="62" spans="2:46" x14ac:dyDescent="0.3">
      <c r="B62" t="s">
        <v>45</v>
      </c>
      <c r="C62">
        <v>2018</v>
      </c>
      <c r="D62" t="s">
        <v>60</v>
      </c>
      <c r="E62">
        <v>136.19999999999999</v>
      </c>
      <c r="V62" t="s">
        <v>41</v>
      </c>
      <c r="W62">
        <v>2018</v>
      </c>
      <c r="X62" t="s">
        <v>61</v>
      </c>
      <c r="Y62" s="24">
        <v>137.23333333333332</v>
      </c>
      <c r="AQ62" t="s">
        <v>44</v>
      </c>
      <c r="AR62">
        <v>2018</v>
      </c>
      <c r="AS62" t="s">
        <v>61</v>
      </c>
      <c r="AT62" s="24">
        <v>115.73750000000001</v>
      </c>
    </row>
    <row r="63" spans="2:46" x14ac:dyDescent="0.3">
      <c r="B63" t="s">
        <v>41</v>
      </c>
      <c r="C63">
        <v>2018</v>
      </c>
      <c r="D63" t="s">
        <v>61</v>
      </c>
      <c r="E63">
        <v>139</v>
      </c>
      <c r="V63" t="s">
        <v>44</v>
      </c>
      <c r="W63">
        <v>2018</v>
      </c>
      <c r="X63" t="s">
        <v>61</v>
      </c>
      <c r="Y63" s="24">
        <v>131.03333333333333</v>
      </c>
      <c r="AQ63" t="s">
        <v>45</v>
      </c>
      <c r="AR63">
        <v>2018</v>
      </c>
      <c r="AS63" t="s">
        <v>61</v>
      </c>
      <c r="AT63" s="24">
        <v>117.5625</v>
      </c>
    </row>
    <row r="64" spans="2:46" x14ac:dyDescent="0.3">
      <c r="B64" t="s">
        <v>44</v>
      </c>
      <c r="C64">
        <v>2018</v>
      </c>
      <c r="D64" t="s">
        <v>61</v>
      </c>
      <c r="E64">
        <v>133.6</v>
      </c>
      <c r="V64" t="s">
        <v>45</v>
      </c>
      <c r="W64">
        <v>2018</v>
      </c>
      <c r="X64" t="s">
        <v>61</v>
      </c>
      <c r="Y64" s="24">
        <v>133.79999999999998</v>
      </c>
      <c r="AQ64" t="s">
        <v>41</v>
      </c>
      <c r="AR64">
        <v>2018</v>
      </c>
      <c r="AS64" t="s">
        <v>62</v>
      </c>
      <c r="AT64" s="24">
        <v>119.46250000000001</v>
      </c>
    </row>
    <row r="65" spans="2:46" x14ac:dyDescent="0.3">
      <c r="B65" t="s">
        <v>45</v>
      </c>
      <c r="C65">
        <v>2018</v>
      </c>
      <c r="D65" t="s">
        <v>61</v>
      </c>
      <c r="E65">
        <v>137</v>
      </c>
      <c r="V65" t="s">
        <v>41</v>
      </c>
      <c r="W65">
        <v>2018</v>
      </c>
      <c r="X65" t="s">
        <v>62</v>
      </c>
      <c r="Y65" s="24">
        <v>137.93333333333331</v>
      </c>
      <c r="AQ65" t="s">
        <v>44</v>
      </c>
      <c r="AR65">
        <v>2018</v>
      </c>
      <c r="AS65" t="s">
        <v>62</v>
      </c>
      <c r="AT65" s="24">
        <v>115.6875</v>
      </c>
    </row>
    <row r="66" spans="2:46" x14ac:dyDescent="0.3">
      <c r="B66" t="s">
        <v>41</v>
      </c>
      <c r="C66">
        <v>2018</v>
      </c>
      <c r="D66" t="s">
        <v>62</v>
      </c>
      <c r="E66">
        <v>139.4</v>
      </c>
      <c r="V66" t="s">
        <v>44</v>
      </c>
      <c r="W66">
        <v>2018</v>
      </c>
      <c r="X66" t="s">
        <v>62</v>
      </c>
      <c r="Y66" s="24">
        <v>131.93333333333334</v>
      </c>
      <c r="AQ66" t="s">
        <v>45</v>
      </c>
      <c r="AR66">
        <v>2018</v>
      </c>
      <c r="AS66" t="s">
        <v>62</v>
      </c>
      <c r="AT66" s="24">
        <v>118.02500000000001</v>
      </c>
    </row>
    <row r="67" spans="2:46" x14ac:dyDescent="0.3">
      <c r="B67" t="s">
        <v>44</v>
      </c>
      <c r="C67">
        <v>2018</v>
      </c>
      <c r="D67" t="s">
        <v>62</v>
      </c>
      <c r="E67">
        <v>134.9</v>
      </c>
      <c r="V67" t="s">
        <v>45</v>
      </c>
      <c r="W67">
        <v>2018</v>
      </c>
      <c r="X67" t="s">
        <v>62</v>
      </c>
      <c r="Y67" s="24">
        <v>134.63333333333333</v>
      </c>
      <c r="AQ67" t="s">
        <v>41</v>
      </c>
      <c r="AR67">
        <v>2018</v>
      </c>
      <c r="AS67" t="s">
        <v>63</v>
      </c>
      <c r="AT67" s="24">
        <v>117.75</v>
      </c>
    </row>
    <row r="68" spans="2:46" x14ac:dyDescent="0.3">
      <c r="B68" t="s">
        <v>45</v>
      </c>
      <c r="C68">
        <v>2018</v>
      </c>
      <c r="D68" t="s">
        <v>62</v>
      </c>
      <c r="E68">
        <v>137.69999999999999</v>
      </c>
      <c r="V68" t="s">
        <v>41</v>
      </c>
      <c r="W68">
        <v>2018</v>
      </c>
      <c r="X68" t="s">
        <v>63</v>
      </c>
      <c r="Y68" s="24">
        <v>139.16666666666666</v>
      </c>
      <c r="AQ68" t="s">
        <v>44</v>
      </c>
      <c r="AR68">
        <v>2018</v>
      </c>
      <c r="AS68" t="s">
        <v>63</v>
      </c>
      <c r="AT68" s="24">
        <v>114.13749999999999</v>
      </c>
    </row>
    <row r="69" spans="2:46" x14ac:dyDescent="0.3">
      <c r="B69" t="s">
        <v>41</v>
      </c>
      <c r="C69">
        <v>2018</v>
      </c>
      <c r="D69" t="s">
        <v>63</v>
      </c>
      <c r="E69">
        <v>140</v>
      </c>
      <c r="V69" t="s">
        <v>44</v>
      </c>
      <c r="W69">
        <v>2018</v>
      </c>
      <c r="X69" t="s">
        <v>63</v>
      </c>
      <c r="Y69" s="24">
        <v>132.63333333333333</v>
      </c>
      <c r="AQ69" t="s">
        <v>45</v>
      </c>
      <c r="AR69">
        <v>2018</v>
      </c>
      <c r="AS69" t="s">
        <v>63</v>
      </c>
      <c r="AT69" s="24">
        <v>116.33750000000001</v>
      </c>
    </row>
    <row r="70" spans="2:46" x14ac:dyDescent="0.3">
      <c r="B70" t="s">
        <v>44</v>
      </c>
      <c r="C70">
        <v>2018</v>
      </c>
      <c r="D70" t="s">
        <v>63</v>
      </c>
      <c r="E70">
        <v>135.69999999999999</v>
      </c>
      <c r="V70" t="s">
        <v>45</v>
      </c>
      <c r="W70">
        <v>2018</v>
      </c>
      <c r="X70" t="s">
        <v>63</v>
      </c>
      <c r="Y70" s="24">
        <v>135.56666666666666</v>
      </c>
      <c r="AQ70" t="s">
        <v>41</v>
      </c>
      <c r="AR70">
        <v>2018</v>
      </c>
      <c r="AS70" t="s">
        <v>64</v>
      </c>
      <c r="AT70" s="24">
        <v>116.01249999999999</v>
      </c>
    </row>
    <row r="71" spans="2:46" x14ac:dyDescent="0.3">
      <c r="B71" t="s">
        <v>45</v>
      </c>
      <c r="C71">
        <v>2018</v>
      </c>
      <c r="D71" t="s">
        <v>63</v>
      </c>
      <c r="E71">
        <v>138.4</v>
      </c>
      <c r="V71" t="s">
        <v>41</v>
      </c>
      <c r="W71">
        <v>2018</v>
      </c>
      <c r="X71" t="s">
        <v>64</v>
      </c>
      <c r="Y71" s="24">
        <v>139.63333333333333</v>
      </c>
      <c r="AQ71" t="s">
        <v>44</v>
      </c>
      <c r="AR71">
        <v>2018</v>
      </c>
      <c r="AS71" t="s">
        <v>64</v>
      </c>
      <c r="AT71" s="24">
        <v>114.4</v>
      </c>
    </row>
    <row r="72" spans="2:46" x14ac:dyDescent="0.3">
      <c r="B72" t="s">
        <v>41</v>
      </c>
      <c r="C72">
        <v>2018</v>
      </c>
      <c r="D72" t="s">
        <v>64</v>
      </c>
      <c r="E72">
        <v>144.80000000000001</v>
      </c>
      <c r="V72" t="s">
        <v>44</v>
      </c>
      <c r="W72">
        <v>2018</v>
      </c>
      <c r="X72" t="s">
        <v>64</v>
      </c>
      <c r="Y72" s="24">
        <v>133.16666666666666</v>
      </c>
      <c r="AQ72" t="s">
        <v>45</v>
      </c>
      <c r="AR72">
        <v>2018</v>
      </c>
      <c r="AS72" t="s">
        <v>64</v>
      </c>
      <c r="AT72" s="24">
        <v>114.96250000000001</v>
      </c>
    </row>
    <row r="73" spans="2:46" x14ac:dyDescent="0.3">
      <c r="B73" t="s">
        <v>44</v>
      </c>
      <c r="C73">
        <v>2018</v>
      </c>
      <c r="D73" t="s">
        <v>64</v>
      </c>
      <c r="E73">
        <v>136.19999999999999</v>
      </c>
      <c r="V73" t="s">
        <v>45</v>
      </c>
      <c r="W73">
        <v>2018</v>
      </c>
      <c r="X73" t="s">
        <v>64</v>
      </c>
      <c r="Y73" s="24">
        <v>136.6</v>
      </c>
      <c r="AQ73" t="s">
        <v>41</v>
      </c>
      <c r="AR73">
        <v>2018</v>
      </c>
      <c r="AS73" t="s">
        <v>65</v>
      </c>
      <c r="AT73" s="24">
        <v>115.5625</v>
      </c>
    </row>
    <row r="74" spans="2:46" x14ac:dyDescent="0.3">
      <c r="B74" t="s">
        <v>45</v>
      </c>
      <c r="C74">
        <v>2018</v>
      </c>
      <c r="D74" t="s">
        <v>64</v>
      </c>
      <c r="E74">
        <v>142.1</v>
      </c>
      <c r="V74" t="s">
        <v>41</v>
      </c>
      <c r="W74">
        <v>2018</v>
      </c>
      <c r="X74" t="s">
        <v>65</v>
      </c>
      <c r="Y74" s="24">
        <v>141.19999999999999</v>
      </c>
      <c r="AQ74" t="s">
        <v>44</v>
      </c>
      <c r="AR74">
        <v>2018</v>
      </c>
      <c r="AS74" t="s">
        <v>65</v>
      </c>
      <c r="AT74" s="24">
        <v>114.01249999999999</v>
      </c>
    </row>
    <row r="75" spans="2:46" x14ac:dyDescent="0.3">
      <c r="B75" t="s">
        <v>41</v>
      </c>
      <c r="C75">
        <v>2018</v>
      </c>
      <c r="D75" t="s">
        <v>65</v>
      </c>
      <c r="E75">
        <v>145.4</v>
      </c>
      <c r="V75" t="s">
        <v>44</v>
      </c>
      <c r="W75">
        <v>2018</v>
      </c>
      <c r="X75" t="s">
        <v>65</v>
      </c>
      <c r="Y75" s="24">
        <v>132.86666666666667</v>
      </c>
      <c r="AQ75" t="s">
        <v>45</v>
      </c>
      <c r="AR75">
        <v>2018</v>
      </c>
      <c r="AS75" t="s">
        <v>65</v>
      </c>
      <c r="AT75" s="24">
        <v>114.9875</v>
      </c>
    </row>
    <row r="76" spans="2:46" x14ac:dyDescent="0.3">
      <c r="B76" t="s">
        <v>44</v>
      </c>
      <c r="C76">
        <v>2018</v>
      </c>
      <c r="D76" t="s">
        <v>65</v>
      </c>
      <c r="E76">
        <v>136.80000000000001</v>
      </c>
      <c r="V76" t="s">
        <v>45</v>
      </c>
      <c r="W76">
        <v>2018</v>
      </c>
      <c r="X76" t="s">
        <v>65</v>
      </c>
      <c r="Y76" s="24">
        <v>136.6</v>
      </c>
      <c r="AQ76" t="s">
        <v>41</v>
      </c>
      <c r="AR76">
        <v>2018</v>
      </c>
      <c r="AS76" t="s">
        <v>66</v>
      </c>
      <c r="AT76" s="24">
        <v>113.63749999999999</v>
      </c>
    </row>
    <row r="77" spans="2:46" x14ac:dyDescent="0.3">
      <c r="B77" t="s">
        <v>45</v>
      </c>
      <c r="C77">
        <v>2018</v>
      </c>
      <c r="D77" t="s">
        <v>65</v>
      </c>
      <c r="E77">
        <v>142.1</v>
      </c>
      <c r="V77" t="s">
        <v>41</v>
      </c>
      <c r="W77">
        <v>2018</v>
      </c>
      <c r="X77" t="s">
        <v>66</v>
      </c>
      <c r="Y77" s="24">
        <v>142.43333333333337</v>
      </c>
      <c r="AQ77" t="s">
        <v>44</v>
      </c>
      <c r="AR77">
        <v>2018</v>
      </c>
      <c r="AS77" t="s">
        <v>66</v>
      </c>
      <c r="AT77" s="24">
        <v>112.1875</v>
      </c>
    </row>
    <row r="78" spans="2:46" x14ac:dyDescent="0.3">
      <c r="B78" t="s">
        <v>41</v>
      </c>
      <c r="C78">
        <v>2018</v>
      </c>
      <c r="D78" t="s">
        <v>66</v>
      </c>
      <c r="E78">
        <v>149.6</v>
      </c>
      <c r="V78" t="s">
        <v>44</v>
      </c>
      <c r="W78">
        <v>2018</v>
      </c>
      <c r="X78" t="s">
        <v>66</v>
      </c>
      <c r="Y78" s="24">
        <v>132.33333333333334</v>
      </c>
      <c r="AQ78" t="s">
        <v>45</v>
      </c>
      <c r="AR78">
        <v>2018</v>
      </c>
      <c r="AS78" t="s">
        <v>66</v>
      </c>
      <c r="AT78" s="24">
        <v>113.09999999999998</v>
      </c>
    </row>
    <row r="79" spans="2:46" x14ac:dyDescent="0.3">
      <c r="B79" t="s">
        <v>44</v>
      </c>
      <c r="C79">
        <v>2018</v>
      </c>
      <c r="D79" t="s">
        <v>66</v>
      </c>
      <c r="E79">
        <v>137.30000000000001</v>
      </c>
      <c r="V79" t="s">
        <v>45</v>
      </c>
      <c r="W79">
        <v>2018</v>
      </c>
      <c r="X79" t="s">
        <v>66</v>
      </c>
      <c r="Y79" s="24">
        <v>136.83333333333334</v>
      </c>
      <c r="AQ79" t="s">
        <v>41</v>
      </c>
      <c r="AR79">
        <v>2019</v>
      </c>
      <c r="AS79" t="s">
        <v>56</v>
      </c>
      <c r="AT79" s="24">
        <v>112.03749999999999</v>
      </c>
    </row>
    <row r="80" spans="2:46" x14ac:dyDescent="0.3">
      <c r="B80" t="s">
        <v>45</v>
      </c>
      <c r="C80">
        <v>2018</v>
      </c>
      <c r="D80" t="s">
        <v>66</v>
      </c>
      <c r="E80">
        <v>144.9</v>
      </c>
      <c r="V80" t="s">
        <v>41</v>
      </c>
      <c r="W80">
        <v>2019</v>
      </c>
      <c r="X80" t="s">
        <v>56</v>
      </c>
      <c r="Y80" s="24">
        <v>142.23333333333332</v>
      </c>
      <c r="AQ80" t="s">
        <v>44</v>
      </c>
      <c r="AR80">
        <v>2019</v>
      </c>
      <c r="AS80" t="s">
        <v>56</v>
      </c>
      <c r="AT80" s="24">
        <v>111.38749999999999</v>
      </c>
    </row>
    <row r="81" spans="2:46" x14ac:dyDescent="0.3">
      <c r="B81" t="s">
        <v>41</v>
      </c>
      <c r="C81">
        <v>2019</v>
      </c>
      <c r="D81" t="s">
        <v>56</v>
      </c>
      <c r="E81">
        <v>149.6</v>
      </c>
      <c r="V81" t="s">
        <v>44</v>
      </c>
      <c r="W81">
        <v>2019</v>
      </c>
      <c r="X81" t="s">
        <v>56</v>
      </c>
      <c r="Y81" s="24">
        <v>132.36666666666667</v>
      </c>
      <c r="AQ81" t="s">
        <v>45</v>
      </c>
      <c r="AR81">
        <v>2019</v>
      </c>
      <c r="AS81" t="s">
        <v>56</v>
      </c>
      <c r="AT81" s="24">
        <v>111.79999999999998</v>
      </c>
    </row>
    <row r="82" spans="2:46" x14ac:dyDescent="0.3">
      <c r="B82" t="s">
        <v>44</v>
      </c>
      <c r="C82">
        <v>2019</v>
      </c>
      <c r="D82" t="s">
        <v>56</v>
      </c>
      <c r="E82">
        <v>137.80000000000001</v>
      </c>
      <c r="V82" t="s">
        <v>45</v>
      </c>
      <c r="W82">
        <v>2019</v>
      </c>
      <c r="X82" t="s">
        <v>56</v>
      </c>
      <c r="Y82" s="24">
        <v>136.73333333333332</v>
      </c>
      <c r="AQ82" t="s">
        <v>41</v>
      </c>
      <c r="AR82">
        <v>2019</v>
      </c>
      <c r="AS82" t="s">
        <v>57</v>
      </c>
      <c r="AT82" s="24">
        <v>111.79999999999998</v>
      </c>
    </row>
    <row r="83" spans="2:46" x14ac:dyDescent="0.3">
      <c r="B83" t="s">
        <v>45</v>
      </c>
      <c r="C83">
        <v>2019</v>
      </c>
      <c r="D83" t="s">
        <v>56</v>
      </c>
      <c r="E83">
        <v>145.1</v>
      </c>
      <c r="V83" t="s">
        <v>41</v>
      </c>
      <c r="W83">
        <v>2019</v>
      </c>
      <c r="X83" t="s">
        <v>57</v>
      </c>
      <c r="Y83" s="24">
        <v>142.70000000000002</v>
      </c>
      <c r="AQ83" t="s">
        <v>44</v>
      </c>
      <c r="AR83">
        <v>2019</v>
      </c>
      <c r="AS83" t="s">
        <v>57</v>
      </c>
      <c r="AT83" s="24">
        <v>112.1875</v>
      </c>
    </row>
    <row r="84" spans="2:46" x14ac:dyDescent="0.3">
      <c r="B84" t="s">
        <v>41</v>
      </c>
      <c r="C84">
        <v>2019</v>
      </c>
      <c r="D84" t="s">
        <v>57</v>
      </c>
      <c r="E84">
        <v>149.9</v>
      </c>
      <c r="V84" t="s">
        <v>44</v>
      </c>
      <c r="W84">
        <v>2019</v>
      </c>
      <c r="X84" t="s">
        <v>57</v>
      </c>
      <c r="Y84" s="24">
        <v>132.66666666666666</v>
      </c>
      <c r="AQ84" t="s">
        <v>45</v>
      </c>
      <c r="AR84">
        <v>2019</v>
      </c>
      <c r="AS84" t="s">
        <v>57</v>
      </c>
      <c r="AT84" s="24">
        <v>111.92500000000001</v>
      </c>
    </row>
    <row r="85" spans="2:46" x14ac:dyDescent="0.3">
      <c r="B85" t="s">
        <v>44</v>
      </c>
      <c r="C85">
        <v>2019</v>
      </c>
      <c r="D85" t="s">
        <v>57</v>
      </c>
      <c r="E85">
        <v>138.5</v>
      </c>
      <c r="V85" t="s">
        <v>45</v>
      </c>
      <c r="W85">
        <v>2019</v>
      </c>
      <c r="X85" t="s">
        <v>57</v>
      </c>
      <c r="Y85" s="24">
        <v>137.1</v>
      </c>
      <c r="AQ85" t="s">
        <v>41</v>
      </c>
      <c r="AR85">
        <v>2019</v>
      </c>
      <c r="AS85" t="s">
        <v>58</v>
      </c>
      <c r="AT85" s="24">
        <v>111.84999999999998</v>
      </c>
    </row>
    <row r="86" spans="2:46" x14ac:dyDescent="0.3">
      <c r="B86" t="s">
        <v>45</v>
      </c>
      <c r="C86">
        <v>2019</v>
      </c>
      <c r="D86" t="s">
        <v>57</v>
      </c>
      <c r="E86">
        <v>145.6</v>
      </c>
      <c r="V86" t="s">
        <v>41</v>
      </c>
      <c r="W86">
        <v>2019</v>
      </c>
      <c r="X86" t="s">
        <v>58</v>
      </c>
      <c r="Y86" s="24">
        <v>143.06666666666669</v>
      </c>
      <c r="AQ86" t="s">
        <v>44</v>
      </c>
      <c r="AR86">
        <v>2019</v>
      </c>
      <c r="AS86" t="s">
        <v>58</v>
      </c>
      <c r="AT86" s="24">
        <v>113.8125</v>
      </c>
    </row>
    <row r="87" spans="2:46" x14ac:dyDescent="0.3">
      <c r="B87" t="s">
        <v>41</v>
      </c>
      <c r="C87">
        <v>2019</v>
      </c>
      <c r="D87" t="s">
        <v>58</v>
      </c>
      <c r="E87">
        <v>150.4</v>
      </c>
      <c r="V87" t="s">
        <v>44</v>
      </c>
      <c r="W87">
        <v>2019</v>
      </c>
      <c r="X87" t="s">
        <v>58</v>
      </c>
      <c r="Y87" s="24">
        <v>133.20000000000002</v>
      </c>
      <c r="AQ87" t="s">
        <v>45</v>
      </c>
      <c r="AR87">
        <v>2019</v>
      </c>
      <c r="AS87" t="s">
        <v>58</v>
      </c>
      <c r="AT87" s="24">
        <v>112.53749999999999</v>
      </c>
    </row>
    <row r="88" spans="2:46" x14ac:dyDescent="0.3">
      <c r="B88" t="s">
        <v>44</v>
      </c>
      <c r="C88">
        <v>2019</v>
      </c>
      <c r="D88" t="s">
        <v>58</v>
      </c>
      <c r="E88">
        <v>139.19999999999999</v>
      </c>
      <c r="V88" t="s">
        <v>45</v>
      </c>
      <c r="W88">
        <v>2019</v>
      </c>
      <c r="X88" t="s">
        <v>58</v>
      </c>
      <c r="Y88" s="24">
        <v>137.53333333333333</v>
      </c>
      <c r="AQ88" s="14" t="s">
        <v>41</v>
      </c>
      <c r="AR88" s="14">
        <v>2019</v>
      </c>
      <c r="AS88" s="14" t="s">
        <v>59</v>
      </c>
      <c r="AT88" s="24">
        <v>112.47708333333334</v>
      </c>
    </row>
    <row r="89" spans="2:46" x14ac:dyDescent="0.3">
      <c r="B89" t="s">
        <v>45</v>
      </c>
      <c r="C89">
        <v>2019</v>
      </c>
      <c r="D89" t="s">
        <v>58</v>
      </c>
      <c r="E89">
        <v>146.19999999999999</v>
      </c>
      <c r="V89" s="14" t="s">
        <v>41</v>
      </c>
      <c r="W89" s="14">
        <v>2019</v>
      </c>
      <c r="X89" s="14" t="s">
        <v>59</v>
      </c>
      <c r="Y89" s="24">
        <v>137.53333333333333</v>
      </c>
      <c r="AQ89" s="14" t="s">
        <v>44</v>
      </c>
      <c r="AR89" s="14">
        <v>2019</v>
      </c>
      <c r="AS89" s="14" t="s">
        <v>59</v>
      </c>
      <c r="AT89" s="24">
        <v>112.81041666666667</v>
      </c>
    </row>
    <row r="90" spans="2:46" x14ac:dyDescent="0.3">
      <c r="B90" s="14" t="s">
        <v>41</v>
      </c>
      <c r="C90" s="14">
        <v>2019</v>
      </c>
      <c r="D90" s="14" t="s">
        <v>59</v>
      </c>
      <c r="E90" s="14">
        <v>146.19999999999999</v>
      </c>
      <c r="V90" s="14" t="s">
        <v>44</v>
      </c>
      <c r="W90" s="14">
        <v>2019</v>
      </c>
      <c r="X90" s="14" t="s">
        <v>59</v>
      </c>
      <c r="Y90" s="24">
        <v>137.53333333333333</v>
      </c>
      <c r="AQ90" s="14" t="s">
        <v>45</v>
      </c>
      <c r="AR90" s="14">
        <v>2019</v>
      </c>
      <c r="AS90" s="14" t="s">
        <v>59</v>
      </c>
      <c r="AT90" s="24">
        <v>112.57916666666667</v>
      </c>
    </row>
    <row r="91" spans="2:46" x14ac:dyDescent="0.3">
      <c r="B91" s="14" t="s">
        <v>44</v>
      </c>
      <c r="C91" s="14">
        <v>2019</v>
      </c>
      <c r="D91" s="14" t="s">
        <v>59</v>
      </c>
      <c r="E91" s="14">
        <v>146.19999999999999</v>
      </c>
      <c r="V91" s="14" t="s">
        <v>45</v>
      </c>
      <c r="W91" s="14">
        <v>2019</v>
      </c>
      <c r="X91" s="14" t="s">
        <v>59</v>
      </c>
      <c r="Y91" s="24">
        <v>137.53333333333333</v>
      </c>
      <c r="AQ91" t="s">
        <v>41</v>
      </c>
      <c r="AR91">
        <v>2019</v>
      </c>
      <c r="AS91" t="s">
        <v>42</v>
      </c>
      <c r="AT91" s="24">
        <v>114.02500000000001</v>
      </c>
    </row>
    <row r="92" spans="2:46" x14ac:dyDescent="0.3">
      <c r="B92" s="14" t="s">
        <v>45</v>
      </c>
      <c r="C92" s="14">
        <v>2019</v>
      </c>
      <c r="D92" s="14" t="s">
        <v>59</v>
      </c>
      <c r="E92" s="14">
        <v>146.19999999999999</v>
      </c>
      <c r="V92" t="s">
        <v>41</v>
      </c>
      <c r="W92">
        <v>2019</v>
      </c>
      <c r="X92" t="s">
        <v>42</v>
      </c>
      <c r="Y92" s="24">
        <v>144.26666666666668</v>
      </c>
      <c r="AQ92" t="s">
        <v>44</v>
      </c>
      <c r="AR92">
        <v>2019</v>
      </c>
      <c r="AS92" t="s">
        <v>42</v>
      </c>
      <c r="AT92" s="24">
        <v>118.3625</v>
      </c>
    </row>
    <row r="93" spans="2:46" x14ac:dyDescent="0.3">
      <c r="B93" t="s">
        <v>41</v>
      </c>
      <c r="C93">
        <v>2019</v>
      </c>
      <c r="D93" t="s">
        <v>42</v>
      </c>
      <c r="E93">
        <v>151.30000000000001</v>
      </c>
      <c r="V93" t="s">
        <v>44</v>
      </c>
      <c r="W93">
        <v>2019</v>
      </c>
      <c r="X93" t="s">
        <v>42</v>
      </c>
      <c r="Y93" s="24">
        <v>134.03333333333333</v>
      </c>
      <c r="AQ93" t="s">
        <v>45</v>
      </c>
      <c r="AR93">
        <v>2019</v>
      </c>
      <c r="AS93" t="s">
        <v>42</v>
      </c>
      <c r="AT93" s="24">
        <v>115.56249999999999</v>
      </c>
    </row>
    <row r="94" spans="2:46" x14ac:dyDescent="0.3">
      <c r="B94" t="s">
        <v>44</v>
      </c>
      <c r="C94">
        <v>2019</v>
      </c>
      <c r="D94" t="s">
        <v>42</v>
      </c>
      <c r="E94">
        <v>139.80000000000001</v>
      </c>
      <c r="V94" t="s">
        <v>45</v>
      </c>
      <c r="W94">
        <v>2019</v>
      </c>
      <c r="X94" t="s">
        <v>42</v>
      </c>
      <c r="Y94" s="24">
        <v>138.56666666666669</v>
      </c>
      <c r="AQ94" t="s">
        <v>41</v>
      </c>
      <c r="AR94">
        <v>2019</v>
      </c>
      <c r="AS94" t="s">
        <v>60</v>
      </c>
      <c r="AT94" s="24">
        <v>115.71250000000001</v>
      </c>
    </row>
    <row r="95" spans="2:46" x14ac:dyDescent="0.3">
      <c r="B95" t="s">
        <v>45</v>
      </c>
      <c r="C95">
        <v>2019</v>
      </c>
      <c r="D95" t="s">
        <v>42</v>
      </c>
      <c r="E95">
        <v>146.9</v>
      </c>
      <c r="V95" t="s">
        <v>41</v>
      </c>
      <c r="W95">
        <v>2019</v>
      </c>
      <c r="X95" t="s">
        <v>60</v>
      </c>
      <c r="Y95" s="24">
        <v>144.76666666666668</v>
      </c>
      <c r="AQ95" t="s">
        <v>44</v>
      </c>
      <c r="AR95">
        <v>2019</v>
      </c>
      <c r="AS95" t="s">
        <v>60</v>
      </c>
      <c r="AT95" s="24">
        <v>120.02499999999999</v>
      </c>
    </row>
    <row r="96" spans="2:46" x14ac:dyDescent="0.3">
      <c r="B96" t="s">
        <v>41</v>
      </c>
      <c r="C96">
        <v>2019</v>
      </c>
      <c r="D96" t="s">
        <v>60</v>
      </c>
      <c r="E96">
        <v>151.69999999999999</v>
      </c>
      <c r="V96" t="s">
        <v>44</v>
      </c>
      <c r="W96">
        <v>2019</v>
      </c>
      <c r="X96" t="s">
        <v>60</v>
      </c>
      <c r="Y96" s="24">
        <v>134.26666666666668</v>
      </c>
      <c r="AQ96" t="s">
        <v>45</v>
      </c>
      <c r="AR96">
        <v>2019</v>
      </c>
      <c r="AS96" t="s">
        <v>60</v>
      </c>
      <c r="AT96" s="24">
        <v>117.2625</v>
      </c>
    </row>
    <row r="97" spans="2:46" x14ac:dyDescent="0.3">
      <c r="B97" t="s">
        <v>44</v>
      </c>
      <c r="C97">
        <v>2019</v>
      </c>
      <c r="D97" t="s">
        <v>60</v>
      </c>
      <c r="E97">
        <v>140.30000000000001</v>
      </c>
      <c r="V97" t="s">
        <v>45</v>
      </c>
      <c r="W97">
        <v>2019</v>
      </c>
      <c r="X97" t="s">
        <v>60</v>
      </c>
      <c r="Y97" s="24">
        <v>138.9</v>
      </c>
      <c r="AQ97" t="s">
        <v>41</v>
      </c>
      <c r="AR97">
        <v>2019</v>
      </c>
      <c r="AS97" t="s">
        <v>61</v>
      </c>
      <c r="AT97" s="24">
        <v>117.80000000000001</v>
      </c>
    </row>
    <row r="98" spans="2:46" x14ac:dyDescent="0.3">
      <c r="B98" t="s">
        <v>45</v>
      </c>
      <c r="C98">
        <v>2019</v>
      </c>
      <c r="D98" t="s">
        <v>60</v>
      </c>
      <c r="E98">
        <v>147.4</v>
      </c>
      <c r="V98" t="s">
        <v>41</v>
      </c>
      <c r="W98">
        <v>2019</v>
      </c>
      <c r="X98" t="s">
        <v>61</v>
      </c>
      <c r="Y98" s="24">
        <v>145.93333333333331</v>
      </c>
      <c r="AQ98" t="s">
        <v>44</v>
      </c>
      <c r="AR98">
        <v>2019</v>
      </c>
      <c r="AS98" t="s">
        <v>61</v>
      </c>
      <c r="AT98" s="24">
        <v>122.22499999999999</v>
      </c>
    </row>
    <row r="99" spans="2:46" x14ac:dyDescent="0.3">
      <c r="B99" t="s">
        <v>41</v>
      </c>
      <c r="C99">
        <v>2019</v>
      </c>
      <c r="D99" t="s">
        <v>61</v>
      </c>
      <c r="E99">
        <v>152.19999999999999</v>
      </c>
      <c r="V99" t="s">
        <v>44</v>
      </c>
      <c r="W99">
        <v>2019</v>
      </c>
      <c r="X99" t="s">
        <v>61</v>
      </c>
      <c r="Y99" s="24">
        <v>135.33333333333334</v>
      </c>
      <c r="AQ99" t="s">
        <v>45</v>
      </c>
      <c r="AR99">
        <v>2019</v>
      </c>
      <c r="AS99" t="s">
        <v>61</v>
      </c>
      <c r="AT99" s="24">
        <v>119.4</v>
      </c>
    </row>
    <row r="100" spans="2:46" x14ac:dyDescent="0.3">
      <c r="B100" t="s">
        <v>44</v>
      </c>
      <c r="C100">
        <v>2019</v>
      </c>
      <c r="D100" t="s">
        <v>61</v>
      </c>
      <c r="E100">
        <v>140.80000000000001</v>
      </c>
      <c r="V100" t="s">
        <v>45</v>
      </c>
      <c r="W100">
        <v>2019</v>
      </c>
      <c r="X100" t="s">
        <v>61</v>
      </c>
      <c r="Y100" s="24">
        <v>140.03333333333333</v>
      </c>
      <c r="AQ100" t="s">
        <v>41</v>
      </c>
      <c r="AR100">
        <v>2019</v>
      </c>
      <c r="AS100" t="s">
        <v>62</v>
      </c>
      <c r="AT100" s="24">
        <v>118.9375</v>
      </c>
    </row>
    <row r="101" spans="2:46" x14ac:dyDescent="0.3">
      <c r="B101" t="s">
        <v>45</v>
      </c>
      <c r="C101">
        <v>2019</v>
      </c>
      <c r="D101" t="s">
        <v>61</v>
      </c>
      <c r="E101">
        <v>147.9</v>
      </c>
      <c r="V101" t="s">
        <v>41</v>
      </c>
      <c r="W101">
        <v>2019</v>
      </c>
      <c r="X101" t="s">
        <v>62</v>
      </c>
      <c r="Y101" s="24">
        <v>146.36666666666665</v>
      </c>
      <c r="AQ101" t="s">
        <v>44</v>
      </c>
      <c r="AR101">
        <v>2019</v>
      </c>
      <c r="AS101" t="s">
        <v>62</v>
      </c>
      <c r="AT101" s="24">
        <v>123.75</v>
      </c>
    </row>
    <row r="102" spans="2:46" x14ac:dyDescent="0.3">
      <c r="B102" t="s">
        <v>41</v>
      </c>
      <c r="C102">
        <v>2019</v>
      </c>
      <c r="D102" t="s">
        <v>62</v>
      </c>
      <c r="E102">
        <v>152.69999999999999</v>
      </c>
      <c r="V102" t="s">
        <v>44</v>
      </c>
      <c r="W102">
        <v>2019</v>
      </c>
      <c r="X102" t="s">
        <v>62</v>
      </c>
      <c r="Y102" s="24">
        <v>135.9</v>
      </c>
      <c r="AQ102" t="s">
        <v>45</v>
      </c>
      <c r="AR102">
        <v>2019</v>
      </c>
      <c r="AS102" t="s">
        <v>62</v>
      </c>
      <c r="AT102" s="24">
        <v>120.66249999999999</v>
      </c>
    </row>
    <row r="103" spans="2:46" x14ac:dyDescent="0.3">
      <c r="B103" t="s">
        <v>44</v>
      </c>
      <c r="C103">
        <v>2019</v>
      </c>
      <c r="D103" t="s">
        <v>62</v>
      </c>
      <c r="E103">
        <v>141.5</v>
      </c>
      <c r="V103" t="s">
        <v>45</v>
      </c>
      <c r="W103">
        <v>2019</v>
      </c>
      <c r="X103" t="s">
        <v>62</v>
      </c>
      <c r="Y103" s="24">
        <v>140.53333333333333</v>
      </c>
      <c r="AQ103" t="s">
        <v>41</v>
      </c>
      <c r="AR103">
        <v>2019</v>
      </c>
      <c r="AS103" t="s">
        <v>63</v>
      </c>
      <c r="AT103" s="24">
        <v>120.19999999999999</v>
      </c>
    </row>
    <row r="104" spans="2:46" x14ac:dyDescent="0.3">
      <c r="B104" t="s">
        <v>45</v>
      </c>
      <c r="C104">
        <v>2019</v>
      </c>
      <c r="D104" t="s">
        <v>62</v>
      </c>
      <c r="E104">
        <v>148.5</v>
      </c>
      <c r="V104" t="s">
        <v>41</v>
      </c>
      <c r="W104">
        <v>2019</v>
      </c>
      <c r="X104" t="s">
        <v>63</v>
      </c>
      <c r="Y104" s="24">
        <v>146.69999999999999</v>
      </c>
      <c r="AQ104" t="s">
        <v>44</v>
      </c>
      <c r="AR104">
        <v>2019</v>
      </c>
      <c r="AS104" t="s">
        <v>63</v>
      </c>
      <c r="AT104" s="24">
        <v>124.22499999999999</v>
      </c>
    </row>
    <row r="105" spans="2:46" x14ac:dyDescent="0.3">
      <c r="B105" t="s">
        <v>41</v>
      </c>
      <c r="C105">
        <v>2019</v>
      </c>
      <c r="D105" t="s">
        <v>63</v>
      </c>
      <c r="E105">
        <v>153.4</v>
      </c>
      <c r="V105" t="s">
        <v>44</v>
      </c>
      <c r="W105">
        <v>2019</v>
      </c>
      <c r="X105" t="s">
        <v>63</v>
      </c>
      <c r="Y105" s="24">
        <v>136.23333333333335</v>
      </c>
      <c r="AQ105" t="s">
        <v>45</v>
      </c>
      <c r="AR105">
        <v>2019</v>
      </c>
      <c r="AS105" t="s">
        <v>63</v>
      </c>
      <c r="AT105" s="24">
        <v>121.63750000000002</v>
      </c>
    </row>
    <row r="106" spans="2:46" x14ac:dyDescent="0.3">
      <c r="B106" t="s">
        <v>44</v>
      </c>
      <c r="C106">
        <v>2019</v>
      </c>
      <c r="D106" t="s">
        <v>63</v>
      </c>
      <c r="E106">
        <v>141.9</v>
      </c>
      <c r="V106" t="s">
        <v>45</v>
      </c>
      <c r="W106">
        <v>2019</v>
      </c>
      <c r="X106" t="s">
        <v>63</v>
      </c>
      <c r="Y106" s="24">
        <v>140.86666666666665</v>
      </c>
      <c r="AQ106" t="s">
        <v>41</v>
      </c>
      <c r="AR106">
        <v>2019</v>
      </c>
      <c r="AS106" t="s">
        <v>64</v>
      </c>
      <c r="AT106" s="24">
        <v>122.91250000000001</v>
      </c>
    </row>
    <row r="107" spans="2:46" x14ac:dyDescent="0.3">
      <c r="B107" t="s">
        <v>45</v>
      </c>
      <c r="C107">
        <v>2019</v>
      </c>
      <c r="D107" t="s">
        <v>63</v>
      </c>
      <c r="E107">
        <v>149</v>
      </c>
      <c r="V107" t="s">
        <v>41</v>
      </c>
      <c r="W107">
        <v>2019</v>
      </c>
      <c r="X107" t="s">
        <v>64</v>
      </c>
      <c r="Y107" s="24">
        <v>147.03333333333333</v>
      </c>
      <c r="AQ107" t="s">
        <v>44</v>
      </c>
      <c r="AR107">
        <v>2019</v>
      </c>
      <c r="AS107" t="s">
        <v>64</v>
      </c>
      <c r="AT107" s="24">
        <v>126.70000000000002</v>
      </c>
    </row>
    <row r="108" spans="2:46" x14ac:dyDescent="0.3">
      <c r="B108" t="s">
        <v>41</v>
      </c>
      <c r="C108">
        <v>2019</v>
      </c>
      <c r="D108" t="s">
        <v>64</v>
      </c>
      <c r="E108">
        <v>153.69999999999999</v>
      </c>
      <c r="V108" t="s">
        <v>44</v>
      </c>
      <c r="W108">
        <v>2019</v>
      </c>
      <c r="X108" t="s">
        <v>64</v>
      </c>
      <c r="Y108" s="24">
        <v>136.46666666666667</v>
      </c>
      <c r="AQ108" t="s">
        <v>45</v>
      </c>
      <c r="AR108">
        <v>2019</v>
      </c>
      <c r="AS108" t="s">
        <v>64</v>
      </c>
      <c r="AT108" s="24">
        <v>124.25</v>
      </c>
    </row>
    <row r="109" spans="2:46" x14ac:dyDescent="0.3">
      <c r="B109" t="s">
        <v>44</v>
      </c>
      <c r="C109">
        <v>2019</v>
      </c>
      <c r="D109" t="s">
        <v>64</v>
      </c>
      <c r="E109">
        <v>142.4</v>
      </c>
      <c r="V109" t="s">
        <v>45</v>
      </c>
      <c r="W109">
        <v>2019</v>
      </c>
      <c r="X109" t="s">
        <v>64</v>
      </c>
      <c r="Y109" s="24">
        <v>141.13333333333333</v>
      </c>
      <c r="AQ109" t="s">
        <v>41</v>
      </c>
      <c r="AR109">
        <v>2019</v>
      </c>
      <c r="AS109" t="s">
        <v>65</v>
      </c>
      <c r="AT109" s="24">
        <v>125.33749999999998</v>
      </c>
    </row>
    <row r="110" spans="2:46" x14ac:dyDescent="0.3">
      <c r="B110" t="s">
        <v>45</v>
      </c>
      <c r="C110">
        <v>2019</v>
      </c>
      <c r="D110" t="s">
        <v>64</v>
      </c>
      <c r="E110">
        <v>149.4</v>
      </c>
      <c r="V110" t="s">
        <v>41</v>
      </c>
      <c r="W110">
        <v>2019</v>
      </c>
      <c r="X110" t="s">
        <v>65</v>
      </c>
      <c r="Y110" s="24">
        <v>147.33333333333334</v>
      </c>
      <c r="AQ110" t="s">
        <v>44</v>
      </c>
      <c r="AR110">
        <v>2019</v>
      </c>
      <c r="AS110" t="s">
        <v>65</v>
      </c>
      <c r="AT110" s="24">
        <v>128.25</v>
      </c>
    </row>
    <row r="111" spans="2:46" x14ac:dyDescent="0.3">
      <c r="B111" t="s">
        <v>41</v>
      </c>
      <c r="C111">
        <v>2019</v>
      </c>
      <c r="D111" t="s">
        <v>65</v>
      </c>
      <c r="E111">
        <v>154.30000000000001</v>
      </c>
      <c r="V111" t="s">
        <v>44</v>
      </c>
      <c r="W111">
        <v>2019</v>
      </c>
      <c r="X111" t="s">
        <v>65</v>
      </c>
      <c r="Y111" s="24">
        <v>136.73333333333332</v>
      </c>
      <c r="AQ111" t="s">
        <v>45</v>
      </c>
      <c r="AR111">
        <v>2019</v>
      </c>
      <c r="AS111" t="s">
        <v>65</v>
      </c>
      <c r="AT111" s="24">
        <v>126.33750000000001</v>
      </c>
    </row>
    <row r="112" spans="2:46" x14ac:dyDescent="0.3">
      <c r="B112" t="s">
        <v>44</v>
      </c>
      <c r="C112">
        <v>2019</v>
      </c>
      <c r="D112" t="s">
        <v>65</v>
      </c>
      <c r="E112">
        <v>142.80000000000001</v>
      </c>
      <c r="V112" t="s">
        <v>45</v>
      </c>
      <c r="W112">
        <v>2019</v>
      </c>
      <c r="X112" t="s">
        <v>65</v>
      </c>
      <c r="Y112" s="24">
        <v>141.4</v>
      </c>
      <c r="AQ112" t="s">
        <v>41</v>
      </c>
      <c r="AR112">
        <v>2019</v>
      </c>
      <c r="AS112" t="s">
        <v>66</v>
      </c>
      <c r="AT112" s="24">
        <v>128.20000000000002</v>
      </c>
    </row>
    <row r="113" spans="2:46" x14ac:dyDescent="0.3">
      <c r="B113" t="s">
        <v>45</v>
      </c>
      <c r="C113">
        <v>2019</v>
      </c>
      <c r="D113" t="s">
        <v>65</v>
      </c>
      <c r="E113">
        <v>149.9</v>
      </c>
      <c r="V113" t="s">
        <v>41</v>
      </c>
      <c r="W113">
        <v>2019</v>
      </c>
      <c r="X113" t="s">
        <v>66</v>
      </c>
      <c r="Y113" s="24">
        <v>148.53333333333333</v>
      </c>
      <c r="AQ113" t="s">
        <v>44</v>
      </c>
      <c r="AR113">
        <v>2019</v>
      </c>
      <c r="AS113" t="s">
        <v>66</v>
      </c>
      <c r="AT113" s="24">
        <v>130.77500000000001</v>
      </c>
    </row>
    <row r="114" spans="2:46" x14ac:dyDescent="0.3">
      <c r="B114" t="s">
        <v>41</v>
      </c>
      <c r="C114">
        <v>2019</v>
      </c>
      <c r="D114" t="s">
        <v>66</v>
      </c>
      <c r="E114">
        <v>154.80000000000001</v>
      </c>
      <c r="V114" t="s">
        <v>44</v>
      </c>
      <c r="W114">
        <v>2019</v>
      </c>
      <c r="X114" t="s">
        <v>66</v>
      </c>
      <c r="Y114" s="24">
        <v>137.96666666666667</v>
      </c>
      <c r="AQ114" t="s">
        <v>45</v>
      </c>
      <c r="AR114">
        <v>2019</v>
      </c>
      <c r="AS114" t="s">
        <v>66</v>
      </c>
      <c r="AT114" s="24">
        <v>129.11250000000001</v>
      </c>
    </row>
    <row r="115" spans="2:46" x14ac:dyDescent="0.3">
      <c r="B115" t="s">
        <v>44</v>
      </c>
      <c r="C115">
        <v>2019</v>
      </c>
      <c r="D115" t="s">
        <v>66</v>
      </c>
      <c r="E115">
        <v>143.19999999999999</v>
      </c>
      <c r="V115" t="s">
        <v>45</v>
      </c>
      <c r="W115">
        <v>2019</v>
      </c>
      <c r="X115" t="s">
        <v>66</v>
      </c>
      <c r="Y115" s="24">
        <v>142.6</v>
      </c>
      <c r="AQ115" t="s">
        <v>41</v>
      </c>
      <c r="AR115">
        <v>2020</v>
      </c>
      <c r="AS115" t="s">
        <v>56</v>
      </c>
      <c r="AT115" s="24">
        <v>126.9875</v>
      </c>
    </row>
    <row r="116" spans="2:46" x14ac:dyDescent="0.3">
      <c r="B116" t="s">
        <v>45</v>
      </c>
      <c r="C116">
        <v>2019</v>
      </c>
      <c r="D116" t="s">
        <v>66</v>
      </c>
      <c r="E116">
        <v>150.4</v>
      </c>
      <c r="V116" t="s">
        <v>41</v>
      </c>
      <c r="W116">
        <v>2020</v>
      </c>
      <c r="X116" t="s">
        <v>56</v>
      </c>
      <c r="Y116" s="24">
        <v>149.36666666666665</v>
      </c>
      <c r="AQ116" t="s">
        <v>44</v>
      </c>
      <c r="AR116">
        <v>2020</v>
      </c>
      <c r="AS116" t="s">
        <v>56</v>
      </c>
      <c r="AT116" s="24">
        <v>128.4375</v>
      </c>
    </row>
    <row r="117" spans="2:46" x14ac:dyDescent="0.3">
      <c r="B117" t="s">
        <v>41</v>
      </c>
      <c r="C117">
        <v>2020</v>
      </c>
      <c r="D117" t="s">
        <v>56</v>
      </c>
      <c r="E117">
        <v>155.69999999999999</v>
      </c>
      <c r="V117" t="s">
        <v>44</v>
      </c>
      <c r="W117">
        <v>2020</v>
      </c>
      <c r="X117" t="s">
        <v>56</v>
      </c>
      <c r="Y117" s="24">
        <v>138.46666666666667</v>
      </c>
      <c r="AQ117" t="s">
        <v>45</v>
      </c>
      <c r="AR117">
        <v>2020</v>
      </c>
      <c r="AS117" t="s">
        <v>56</v>
      </c>
      <c r="AT117" s="24">
        <v>127.47500000000001</v>
      </c>
    </row>
    <row r="118" spans="2:46" x14ac:dyDescent="0.3">
      <c r="B118" t="s">
        <v>44</v>
      </c>
      <c r="C118">
        <v>2020</v>
      </c>
      <c r="D118" t="s">
        <v>56</v>
      </c>
      <c r="E118">
        <v>143.80000000000001</v>
      </c>
      <c r="V118" t="s">
        <v>45</v>
      </c>
      <c r="W118">
        <v>2020</v>
      </c>
      <c r="X118" t="s">
        <v>56</v>
      </c>
      <c r="Y118" s="24">
        <v>143.26666666666668</v>
      </c>
      <c r="AQ118" t="s">
        <v>41</v>
      </c>
      <c r="AR118">
        <v>2020</v>
      </c>
      <c r="AS118" t="s">
        <v>57</v>
      </c>
      <c r="AT118" s="24">
        <v>123.92500000000001</v>
      </c>
    </row>
    <row r="119" spans="2:46" x14ac:dyDescent="0.3">
      <c r="B119" t="s">
        <v>45</v>
      </c>
      <c r="C119">
        <v>2020</v>
      </c>
      <c r="D119" t="s">
        <v>56</v>
      </c>
      <c r="E119">
        <v>151.19999999999999</v>
      </c>
      <c r="V119" t="s">
        <v>41</v>
      </c>
      <c r="W119">
        <v>2020</v>
      </c>
      <c r="X119" t="s">
        <v>57</v>
      </c>
      <c r="Y119" s="24">
        <v>149.43333333333331</v>
      </c>
      <c r="AQ119" t="s">
        <v>44</v>
      </c>
      <c r="AR119">
        <v>2020</v>
      </c>
      <c r="AS119" t="s">
        <v>57</v>
      </c>
      <c r="AT119" s="24">
        <v>125.37500000000001</v>
      </c>
    </row>
    <row r="120" spans="2:46" x14ac:dyDescent="0.3">
      <c r="B120" t="s">
        <v>41</v>
      </c>
      <c r="C120">
        <v>2020</v>
      </c>
      <c r="D120" t="s">
        <v>57</v>
      </c>
      <c r="E120">
        <v>156.19999999999999</v>
      </c>
      <c r="V120" t="s">
        <v>44</v>
      </c>
      <c r="W120">
        <v>2020</v>
      </c>
      <c r="X120" t="s">
        <v>57</v>
      </c>
      <c r="Y120" s="24">
        <v>138.36666666666665</v>
      </c>
      <c r="AQ120" t="s">
        <v>45</v>
      </c>
      <c r="AR120">
        <v>2020</v>
      </c>
      <c r="AS120" t="s">
        <v>57</v>
      </c>
      <c r="AT120" s="24">
        <v>124.42500000000001</v>
      </c>
    </row>
    <row r="121" spans="2:46" x14ac:dyDescent="0.3">
      <c r="B121" t="s">
        <v>44</v>
      </c>
      <c r="C121">
        <v>2020</v>
      </c>
      <c r="D121" t="s">
        <v>57</v>
      </c>
      <c r="E121">
        <v>144.4</v>
      </c>
      <c r="V121" t="s">
        <v>45</v>
      </c>
      <c r="W121">
        <v>2020</v>
      </c>
      <c r="X121" t="s">
        <v>57</v>
      </c>
      <c r="Y121" s="24">
        <v>143.23333333333332</v>
      </c>
      <c r="AQ121" t="s">
        <v>41</v>
      </c>
      <c r="AR121">
        <v>2020</v>
      </c>
      <c r="AS121" t="s">
        <v>58</v>
      </c>
      <c r="AT121" s="24">
        <v>122.52500000000002</v>
      </c>
    </row>
    <row r="122" spans="2:46" x14ac:dyDescent="0.3">
      <c r="B122" t="s">
        <v>45</v>
      </c>
      <c r="C122">
        <v>2020</v>
      </c>
      <c r="D122" t="s">
        <v>57</v>
      </c>
      <c r="E122">
        <v>151.69999999999999</v>
      </c>
      <c r="V122" t="s">
        <v>41</v>
      </c>
      <c r="W122">
        <v>2020</v>
      </c>
      <c r="X122" t="s">
        <v>58</v>
      </c>
      <c r="Y122" s="24">
        <v>149.4</v>
      </c>
      <c r="AQ122" t="s">
        <v>44</v>
      </c>
      <c r="AR122">
        <v>2020</v>
      </c>
      <c r="AS122" t="s">
        <v>58</v>
      </c>
      <c r="AT122" s="24">
        <v>123.7375</v>
      </c>
    </row>
    <row r="123" spans="2:46" x14ac:dyDescent="0.3">
      <c r="B123" t="s">
        <v>41</v>
      </c>
      <c r="C123">
        <v>2020</v>
      </c>
      <c r="D123" t="s">
        <v>58</v>
      </c>
      <c r="E123">
        <v>156.69999999999999</v>
      </c>
      <c r="V123" t="s">
        <v>44</v>
      </c>
      <c r="W123">
        <v>2020</v>
      </c>
      <c r="X123" t="s">
        <v>58</v>
      </c>
      <c r="Y123" s="24">
        <v>138.33333333333334</v>
      </c>
      <c r="AQ123" t="s">
        <v>45</v>
      </c>
      <c r="AR123">
        <v>2020</v>
      </c>
      <c r="AS123" t="s">
        <v>58</v>
      </c>
      <c r="AT123" s="24">
        <v>122.94999999999999</v>
      </c>
    </row>
    <row r="124" spans="2:46" x14ac:dyDescent="0.3">
      <c r="B124" t="s">
        <v>44</v>
      </c>
      <c r="C124">
        <v>2020</v>
      </c>
      <c r="D124" t="s">
        <v>58</v>
      </c>
      <c r="E124">
        <v>145</v>
      </c>
      <c r="V124" t="s">
        <v>45</v>
      </c>
      <c r="W124">
        <v>2020</v>
      </c>
      <c r="X124" t="s">
        <v>58</v>
      </c>
      <c r="Y124" s="24">
        <v>143.23333333333335</v>
      </c>
      <c r="AQ124" t="s">
        <v>41</v>
      </c>
      <c r="AR124">
        <v>2020</v>
      </c>
      <c r="AS124" t="s">
        <v>59</v>
      </c>
      <c r="AT124" s="24">
        <v>127.875</v>
      </c>
    </row>
    <row r="125" spans="2:46" x14ac:dyDescent="0.3">
      <c r="B125" t="s">
        <v>45</v>
      </c>
      <c r="C125">
        <v>2020</v>
      </c>
      <c r="D125" t="s">
        <v>58</v>
      </c>
      <c r="E125">
        <v>152.30000000000001</v>
      </c>
      <c r="V125" t="s">
        <v>41</v>
      </c>
      <c r="W125">
        <v>2020</v>
      </c>
      <c r="X125" t="s">
        <v>59</v>
      </c>
      <c r="Y125" s="24">
        <v>149.4</v>
      </c>
      <c r="AQ125" t="s">
        <v>44</v>
      </c>
      <c r="AR125">
        <v>2020</v>
      </c>
      <c r="AS125" t="s">
        <v>59</v>
      </c>
      <c r="AT125" s="24">
        <v>130.28749999999999</v>
      </c>
    </row>
    <row r="126" spans="2:46" x14ac:dyDescent="0.3">
      <c r="B126" t="s">
        <v>41</v>
      </c>
      <c r="C126">
        <v>2020</v>
      </c>
      <c r="D126" t="s">
        <v>59</v>
      </c>
      <c r="E126">
        <v>154.30000000000001</v>
      </c>
      <c r="V126" t="s">
        <v>44</v>
      </c>
      <c r="W126">
        <v>2020</v>
      </c>
      <c r="X126" t="s">
        <v>59</v>
      </c>
      <c r="Y126" s="24">
        <v>138.38888888888889</v>
      </c>
      <c r="AQ126" t="s">
        <v>45</v>
      </c>
      <c r="AR126">
        <v>2020</v>
      </c>
      <c r="AS126" t="s">
        <v>59</v>
      </c>
      <c r="AT126" s="24">
        <v>128.76249999999999</v>
      </c>
    </row>
    <row r="127" spans="2:46" x14ac:dyDescent="0.3">
      <c r="B127" t="s">
        <v>44</v>
      </c>
      <c r="C127">
        <v>2020</v>
      </c>
      <c r="D127" t="s">
        <v>59</v>
      </c>
      <c r="E127">
        <v>144.80000000000001</v>
      </c>
      <c r="V127" t="s">
        <v>45</v>
      </c>
      <c r="W127">
        <v>2020</v>
      </c>
      <c r="X127" t="s">
        <v>59</v>
      </c>
      <c r="Y127" s="24">
        <v>143.24444444444444</v>
      </c>
      <c r="AQ127" s="14" t="s">
        <v>41</v>
      </c>
      <c r="AR127" s="14">
        <v>2020</v>
      </c>
      <c r="AS127" s="14" t="s">
        <v>42</v>
      </c>
      <c r="AT127" s="24">
        <v>128.50416666666666</v>
      </c>
    </row>
    <row r="128" spans="2:46" x14ac:dyDescent="0.3">
      <c r="B128" t="s">
        <v>45</v>
      </c>
      <c r="C128">
        <v>2020</v>
      </c>
      <c r="D128" t="s">
        <v>59</v>
      </c>
      <c r="E128">
        <v>150.69999999999999</v>
      </c>
      <c r="V128" s="14" t="s">
        <v>41</v>
      </c>
      <c r="W128" s="14">
        <v>2020</v>
      </c>
      <c r="X128" s="14" t="s">
        <v>42</v>
      </c>
      <c r="Y128" s="24">
        <v>148.97777777777779</v>
      </c>
      <c r="AQ128" s="14" t="s">
        <v>44</v>
      </c>
      <c r="AR128" s="14">
        <v>2020</v>
      </c>
      <c r="AS128" s="14" t="s">
        <v>42</v>
      </c>
      <c r="AT128" s="24">
        <v>128.95624999999998</v>
      </c>
    </row>
    <row r="129" spans="2:46" x14ac:dyDescent="0.3">
      <c r="B129" s="14" t="s">
        <v>41</v>
      </c>
      <c r="C129" s="14">
        <v>2020</v>
      </c>
      <c r="D129" s="14" t="s">
        <v>42</v>
      </c>
      <c r="E129" s="14">
        <v>150.69999999999999</v>
      </c>
      <c r="V129" s="14" t="s">
        <v>44</v>
      </c>
      <c r="W129" s="14">
        <v>2020</v>
      </c>
      <c r="X129" s="14" t="s">
        <v>42</v>
      </c>
      <c r="Y129" s="24" t="e">
        <v>#DIV/0!</v>
      </c>
      <c r="AQ129" s="14" t="s">
        <v>45</v>
      </c>
      <c r="AR129" s="14">
        <v>2020</v>
      </c>
      <c r="AS129" s="14" t="s">
        <v>42</v>
      </c>
      <c r="AT129" s="24">
        <v>128.64791666666665</v>
      </c>
    </row>
    <row r="130" spans="2:46" x14ac:dyDescent="0.3">
      <c r="B130" s="14" t="s">
        <v>44</v>
      </c>
      <c r="C130" s="14">
        <v>2020</v>
      </c>
      <c r="D130" s="14" t="s">
        <v>42</v>
      </c>
      <c r="E130" s="14">
        <v>150.69999999999999</v>
      </c>
      <c r="V130" s="14" t="s">
        <v>45</v>
      </c>
      <c r="W130" s="14">
        <v>2020</v>
      </c>
      <c r="X130" s="14" t="s">
        <v>42</v>
      </c>
      <c r="Y130" s="24" t="e">
        <v>#DIV/0!</v>
      </c>
      <c r="AQ130" t="s">
        <v>41</v>
      </c>
      <c r="AR130">
        <v>2020</v>
      </c>
      <c r="AS130" t="s">
        <v>60</v>
      </c>
      <c r="AT130" s="24">
        <v>125.22499999999999</v>
      </c>
    </row>
    <row r="131" spans="2:46" x14ac:dyDescent="0.3">
      <c r="B131" s="14" t="s">
        <v>45</v>
      </c>
      <c r="C131" s="14">
        <v>2020</v>
      </c>
      <c r="D131" s="14" t="s">
        <v>42</v>
      </c>
      <c r="E131" s="14">
        <v>150.69999999999999</v>
      </c>
      <c r="V131" t="s">
        <v>41</v>
      </c>
      <c r="W131">
        <v>2020</v>
      </c>
      <c r="X131" t="s">
        <v>60</v>
      </c>
      <c r="Y131" s="24">
        <v>152.13333333333335</v>
      </c>
      <c r="AQ131" t="s">
        <v>44</v>
      </c>
      <c r="AR131">
        <v>2020</v>
      </c>
      <c r="AS131" t="s">
        <v>60</v>
      </c>
      <c r="AT131" s="24">
        <v>129.46250000000001</v>
      </c>
    </row>
    <row r="132" spans="2:46" x14ac:dyDescent="0.3">
      <c r="B132" t="s">
        <v>41</v>
      </c>
      <c r="C132">
        <v>2020</v>
      </c>
      <c r="D132" t="s">
        <v>60</v>
      </c>
      <c r="E132">
        <v>158.19999999999999</v>
      </c>
      <c r="V132" t="s">
        <v>44</v>
      </c>
      <c r="W132">
        <v>2020</v>
      </c>
      <c r="X132" t="s">
        <v>60</v>
      </c>
      <c r="Y132" s="24">
        <v>142.1</v>
      </c>
      <c r="AQ132" t="s">
        <v>45</v>
      </c>
      <c r="AR132">
        <v>2020</v>
      </c>
      <c r="AS132" t="s">
        <v>60</v>
      </c>
      <c r="AT132" s="24">
        <v>126.77499999999999</v>
      </c>
    </row>
    <row r="133" spans="2:46" x14ac:dyDescent="0.3">
      <c r="B133" t="s">
        <v>44</v>
      </c>
      <c r="C133">
        <v>2020</v>
      </c>
      <c r="D133" t="s">
        <v>60</v>
      </c>
      <c r="E133">
        <v>148.1</v>
      </c>
      <c r="V133" t="s">
        <v>45</v>
      </c>
      <c r="W133">
        <v>2020</v>
      </c>
      <c r="X133" t="s">
        <v>60</v>
      </c>
      <c r="Y133" s="24">
        <v>146.56666666666669</v>
      </c>
      <c r="AQ133" t="s">
        <v>41</v>
      </c>
      <c r="AR133">
        <v>2020</v>
      </c>
      <c r="AS133" t="s">
        <v>61</v>
      </c>
      <c r="AT133" s="24">
        <v>125.22499999999999</v>
      </c>
    </row>
    <row r="134" spans="2:46" x14ac:dyDescent="0.3">
      <c r="B134" t="s">
        <v>45</v>
      </c>
      <c r="C134">
        <v>2020</v>
      </c>
      <c r="D134" t="s">
        <v>60</v>
      </c>
      <c r="E134">
        <v>154.4</v>
      </c>
      <c r="V134" t="s">
        <v>41</v>
      </c>
      <c r="W134">
        <v>2020</v>
      </c>
      <c r="X134" t="s">
        <v>61</v>
      </c>
      <c r="Y134" s="24">
        <v>152.13333333333335</v>
      </c>
      <c r="AQ134" t="s">
        <v>44</v>
      </c>
      <c r="AR134">
        <v>2020</v>
      </c>
      <c r="AS134" t="s">
        <v>61</v>
      </c>
      <c r="AT134" s="24">
        <v>129.46250000000001</v>
      </c>
    </row>
    <row r="135" spans="2:46" x14ac:dyDescent="0.3">
      <c r="B135" t="s">
        <v>41</v>
      </c>
      <c r="C135">
        <v>2020</v>
      </c>
      <c r="D135" t="s">
        <v>61</v>
      </c>
      <c r="E135">
        <v>158.19999999999999</v>
      </c>
      <c r="V135" t="s">
        <v>44</v>
      </c>
      <c r="W135">
        <v>2020</v>
      </c>
      <c r="X135" t="s">
        <v>61</v>
      </c>
      <c r="Y135" s="24">
        <v>142.1</v>
      </c>
      <c r="AQ135" t="s">
        <v>45</v>
      </c>
      <c r="AR135">
        <v>2020</v>
      </c>
      <c r="AS135" t="s">
        <v>61</v>
      </c>
      <c r="AT135" s="24">
        <v>126.77499999999999</v>
      </c>
    </row>
    <row r="136" spans="2:46" x14ac:dyDescent="0.3">
      <c r="B136" t="s">
        <v>44</v>
      </c>
      <c r="C136">
        <v>2020</v>
      </c>
      <c r="D136" t="s">
        <v>61</v>
      </c>
      <c r="E136">
        <v>148.1</v>
      </c>
      <c r="V136" t="s">
        <v>45</v>
      </c>
      <c r="W136">
        <v>2020</v>
      </c>
      <c r="X136" t="s">
        <v>61</v>
      </c>
      <c r="Y136" s="24">
        <v>146.56666666666669</v>
      </c>
      <c r="AQ136" t="s">
        <v>41</v>
      </c>
      <c r="AR136">
        <v>2020</v>
      </c>
      <c r="AS136" t="s">
        <v>62</v>
      </c>
      <c r="AT136" s="24">
        <v>128.67500000000001</v>
      </c>
    </row>
    <row r="137" spans="2:46" x14ac:dyDescent="0.3">
      <c r="B137" t="s">
        <v>45</v>
      </c>
      <c r="C137">
        <v>2020</v>
      </c>
      <c r="D137" t="s">
        <v>61</v>
      </c>
      <c r="E137">
        <v>154.4</v>
      </c>
      <c r="V137" t="s">
        <v>41</v>
      </c>
      <c r="W137">
        <v>2020</v>
      </c>
      <c r="X137" t="s">
        <v>62</v>
      </c>
      <c r="Y137" s="24">
        <v>152.83333333333331</v>
      </c>
      <c r="AQ137" t="s">
        <v>44</v>
      </c>
      <c r="AR137">
        <v>2020</v>
      </c>
      <c r="AS137" t="s">
        <v>62</v>
      </c>
      <c r="AT137" s="24">
        <v>132.4375</v>
      </c>
    </row>
    <row r="138" spans="2:46" x14ac:dyDescent="0.3">
      <c r="B138" t="s">
        <v>41</v>
      </c>
      <c r="C138">
        <v>2020</v>
      </c>
      <c r="D138" t="s">
        <v>62</v>
      </c>
      <c r="E138">
        <v>158.80000000000001</v>
      </c>
      <c r="V138" t="s">
        <v>44</v>
      </c>
      <c r="W138">
        <v>2020</v>
      </c>
      <c r="X138" t="s">
        <v>62</v>
      </c>
      <c r="Y138" s="24">
        <v>143.53333333333333</v>
      </c>
      <c r="AQ138" t="s">
        <v>45</v>
      </c>
      <c r="AR138">
        <v>2020</v>
      </c>
      <c r="AS138" t="s">
        <v>62</v>
      </c>
      <c r="AT138" s="24">
        <v>130.03750000000002</v>
      </c>
    </row>
    <row r="139" spans="2:46" x14ac:dyDescent="0.3">
      <c r="B139" t="s">
        <v>44</v>
      </c>
      <c r="C139">
        <v>2020</v>
      </c>
      <c r="D139" t="s">
        <v>62</v>
      </c>
      <c r="E139">
        <v>148.69999999999999</v>
      </c>
      <c r="V139" t="s">
        <v>45</v>
      </c>
      <c r="W139">
        <v>2020</v>
      </c>
      <c r="X139" t="s">
        <v>62</v>
      </c>
      <c r="Y139" s="24">
        <v>147.66666666666666</v>
      </c>
      <c r="AQ139" t="s">
        <v>41</v>
      </c>
      <c r="AR139">
        <v>2020</v>
      </c>
      <c r="AS139" t="s">
        <v>63</v>
      </c>
      <c r="AT139" s="24">
        <v>129.6875</v>
      </c>
    </row>
    <row r="140" spans="2:46" x14ac:dyDescent="0.3">
      <c r="B140" t="s">
        <v>45</v>
      </c>
      <c r="C140">
        <v>2020</v>
      </c>
      <c r="D140" t="s">
        <v>62</v>
      </c>
      <c r="E140">
        <v>155</v>
      </c>
      <c r="V140" t="s">
        <v>41</v>
      </c>
      <c r="W140">
        <v>2020</v>
      </c>
      <c r="X140" t="s">
        <v>63</v>
      </c>
      <c r="Y140" s="24">
        <v>152.83333333333334</v>
      </c>
      <c r="AQ140" t="s">
        <v>44</v>
      </c>
      <c r="AR140">
        <v>2020</v>
      </c>
      <c r="AS140" t="s">
        <v>63</v>
      </c>
      <c r="AT140" s="24">
        <v>134.23749999999998</v>
      </c>
    </row>
    <row r="141" spans="2:46" x14ac:dyDescent="0.3">
      <c r="B141" t="s">
        <v>41</v>
      </c>
      <c r="C141">
        <v>2020</v>
      </c>
      <c r="D141" t="s">
        <v>63</v>
      </c>
      <c r="E141">
        <v>159.1</v>
      </c>
      <c r="V141" t="s">
        <v>44</v>
      </c>
      <c r="W141">
        <v>2020</v>
      </c>
      <c r="X141" t="s">
        <v>63</v>
      </c>
      <c r="Y141" s="24">
        <v>143.93333333333331</v>
      </c>
      <c r="AQ141" t="s">
        <v>45</v>
      </c>
      <c r="AR141">
        <v>2020</v>
      </c>
      <c r="AS141" t="s">
        <v>63</v>
      </c>
      <c r="AT141" s="24">
        <v>131.33750000000001</v>
      </c>
    </row>
    <row r="142" spans="2:46" x14ac:dyDescent="0.3">
      <c r="B142" t="s">
        <v>44</v>
      </c>
      <c r="C142">
        <v>2020</v>
      </c>
      <c r="D142" t="s">
        <v>63</v>
      </c>
      <c r="E142">
        <v>150</v>
      </c>
      <c r="V142" t="s">
        <v>45</v>
      </c>
      <c r="W142">
        <v>2020</v>
      </c>
      <c r="X142" t="s">
        <v>63</v>
      </c>
      <c r="Y142" s="24">
        <v>147.9</v>
      </c>
      <c r="AQ142" t="s">
        <v>41</v>
      </c>
      <c r="AR142">
        <v>2020</v>
      </c>
      <c r="AS142" t="s">
        <v>64</v>
      </c>
      <c r="AT142" s="24">
        <v>132.86250000000001</v>
      </c>
    </row>
    <row r="143" spans="2:46" x14ac:dyDescent="0.3">
      <c r="B143" t="s">
        <v>45</v>
      </c>
      <c r="C143">
        <v>2020</v>
      </c>
      <c r="D143" t="s">
        <v>63</v>
      </c>
      <c r="E143">
        <v>155.6</v>
      </c>
      <c r="V143" t="s">
        <v>41</v>
      </c>
      <c r="W143">
        <v>2020</v>
      </c>
      <c r="X143" t="s">
        <v>64</v>
      </c>
      <c r="Y143" s="24">
        <v>153.76666666666668</v>
      </c>
      <c r="AQ143" t="s">
        <v>44</v>
      </c>
      <c r="AR143">
        <v>2020</v>
      </c>
      <c r="AS143" t="s">
        <v>64</v>
      </c>
      <c r="AT143" s="24">
        <v>137.45000000000002</v>
      </c>
    </row>
    <row r="144" spans="2:46" x14ac:dyDescent="0.3">
      <c r="B144" t="s">
        <v>41</v>
      </c>
      <c r="C144">
        <v>2020</v>
      </c>
      <c r="D144" t="s">
        <v>64</v>
      </c>
      <c r="E144">
        <v>159.5</v>
      </c>
      <c r="V144" t="s">
        <v>44</v>
      </c>
      <c r="W144">
        <v>2020</v>
      </c>
      <c r="X144" t="s">
        <v>64</v>
      </c>
      <c r="Y144" s="24">
        <v>144.36666666666665</v>
      </c>
      <c r="AQ144" t="s">
        <v>45</v>
      </c>
      <c r="AR144">
        <v>2020</v>
      </c>
      <c r="AS144" t="s">
        <v>64</v>
      </c>
      <c r="AT144" s="24">
        <v>134.51249999999999</v>
      </c>
    </row>
    <row r="145" spans="2:46" x14ac:dyDescent="0.3">
      <c r="B145" t="s">
        <v>44</v>
      </c>
      <c r="C145">
        <v>2020</v>
      </c>
      <c r="D145" t="s">
        <v>64</v>
      </c>
      <c r="E145">
        <v>151</v>
      </c>
      <c r="V145" t="s">
        <v>45</v>
      </c>
      <c r="W145">
        <v>2020</v>
      </c>
      <c r="X145" t="s">
        <v>64</v>
      </c>
      <c r="Y145" s="24">
        <v>148.53333333333333</v>
      </c>
      <c r="AQ145" t="s">
        <v>41</v>
      </c>
      <c r="AR145">
        <v>2020</v>
      </c>
      <c r="AS145" t="s">
        <v>65</v>
      </c>
      <c r="AT145" s="24">
        <v>136.53749999999999</v>
      </c>
    </row>
    <row r="146" spans="2:46" x14ac:dyDescent="0.3">
      <c r="B146" t="s">
        <v>45</v>
      </c>
      <c r="C146">
        <v>2020</v>
      </c>
      <c r="D146" t="s">
        <v>64</v>
      </c>
      <c r="E146">
        <v>156.30000000000001</v>
      </c>
      <c r="V146" t="s">
        <v>41</v>
      </c>
      <c r="W146">
        <v>2020</v>
      </c>
      <c r="X146" t="s">
        <v>65</v>
      </c>
      <c r="Y146" s="24">
        <v>153.76666666666665</v>
      </c>
      <c r="AQ146" t="s">
        <v>44</v>
      </c>
      <c r="AR146">
        <v>2020</v>
      </c>
      <c r="AS146" t="s">
        <v>65</v>
      </c>
      <c r="AT146" s="24">
        <v>140.10000000000002</v>
      </c>
    </row>
    <row r="147" spans="2:46" x14ac:dyDescent="0.3">
      <c r="B147" t="s">
        <v>41</v>
      </c>
      <c r="C147">
        <v>2020</v>
      </c>
      <c r="D147" t="s">
        <v>65</v>
      </c>
      <c r="E147">
        <v>160.4</v>
      </c>
      <c r="V147" t="s">
        <v>44</v>
      </c>
      <c r="W147">
        <v>2020</v>
      </c>
      <c r="X147" t="s">
        <v>65</v>
      </c>
      <c r="Y147" s="24">
        <v>145.33333333333334</v>
      </c>
      <c r="AQ147" t="s">
        <v>45</v>
      </c>
      <c r="AR147">
        <v>2020</v>
      </c>
      <c r="AS147" t="s">
        <v>65</v>
      </c>
      <c r="AT147" s="24">
        <v>137.77500000000001</v>
      </c>
    </row>
    <row r="148" spans="2:46" x14ac:dyDescent="0.3">
      <c r="B148" t="s">
        <v>44</v>
      </c>
      <c r="C148">
        <v>2020</v>
      </c>
      <c r="D148" t="s">
        <v>65</v>
      </c>
      <c r="E148">
        <v>152</v>
      </c>
      <c r="V148" t="s">
        <v>45</v>
      </c>
      <c r="W148">
        <v>2020</v>
      </c>
      <c r="X148" t="s">
        <v>65</v>
      </c>
      <c r="Y148" s="24">
        <v>149.13333333333333</v>
      </c>
      <c r="AQ148" t="s">
        <v>41</v>
      </c>
      <c r="AR148">
        <v>2020</v>
      </c>
      <c r="AS148" t="s">
        <v>66</v>
      </c>
      <c r="AT148" s="24">
        <v>137.88749999999999</v>
      </c>
    </row>
    <row r="149" spans="2:46" x14ac:dyDescent="0.3">
      <c r="B149" t="s">
        <v>45</v>
      </c>
      <c r="C149">
        <v>2020</v>
      </c>
      <c r="D149" t="s">
        <v>65</v>
      </c>
      <c r="E149">
        <v>157.19999999999999</v>
      </c>
      <c r="V149" t="s">
        <v>41</v>
      </c>
      <c r="W149">
        <v>2020</v>
      </c>
      <c r="X149" t="s">
        <v>66</v>
      </c>
      <c r="Y149" s="24">
        <v>154.4</v>
      </c>
      <c r="AQ149" t="s">
        <v>44</v>
      </c>
      <c r="AR149">
        <v>2020</v>
      </c>
      <c r="AS149" t="s">
        <v>66</v>
      </c>
      <c r="AT149" s="24">
        <v>140.1</v>
      </c>
    </row>
    <row r="150" spans="2:46" x14ac:dyDescent="0.3">
      <c r="B150" t="s">
        <v>41</v>
      </c>
      <c r="C150">
        <v>2020</v>
      </c>
      <c r="D150" t="s">
        <v>66</v>
      </c>
      <c r="E150">
        <v>161.6</v>
      </c>
      <c r="V150" t="s">
        <v>44</v>
      </c>
      <c r="W150">
        <v>2020</v>
      </c>
      <c r="X150" t="s">
        <v>66</v>
      </c>
      <c r="Y150" s="24">
        <v>145.56666666666669</v>
      </c>
      <c r="AQ150" t="s">
        <v>45</v>
      </c>
      <c r="AR150">
        <v>2020</v>
      </c>
      <c r="AS150" t="s">
        <v>66</v>
      </c>
      <c r="AT150" s="24">
        <v>138.66249999999999</v>
      </c>
    </row>
    <row r="151" spans="2:46" x14ac:dyDescent="0.3">
      <c r="B151" t="s">
        <v>44</v>
      </c>
      <c r="C151">
        <v>2020</v>
      </c>
      <c r="D151" t="s">
        <v>66</v>
      </c>
      <c r="E151">
        <v>152.9</v>
      </c>
      <c r="V151" t="s">
        <v>45</v>
      </c>
      <c r="W151">
        <v>2020</v>
      </c>
      <c r="X151" t="s">
        <v>66</v>
      </c>
      <c r="Y151" s="24">
        <v>149.53333333333333</v>
      </c>
      <c r="AQ151" t="s">
        <v>41</v>
      </c>
      <c r="AR151">
        <v>2021</v>
      </c>
      <c r="AS151" t="s">
        <v>56</v>
      </c>
      <c r="AT151" s="24">
        <v>133.85</v>
      </c>
    </row>
    <row r="152" spans="2:46" x14ac:dyDescent="0.3">
      <c r="B152" t="s">
        <v>45</v>
      </c>
      <c r="C152">
        <v>2020</v>
      </c>
      <c r="D152" t="s">
        <v>66</v>
      </c>
      <c r="E152">
        <v>158.30000000000001</v>
      </c>
      <c r="V152" t="s">
        <v>41</v>
      </c>
      <c r="W152">
        <v>2021</v>
      </c>
      <c r="X152" t="s">
        <v>56</v>
      </c>
      <c r="Y152" s="24">
        <v>155.36666666666667</v>
      </c>
      <c r="AQ152" t="s">
        <v>44</v>
      </c>
      <c r="AR152">
        <v>2021</v>
      </c>
      <c r="AS152" t="s">
        <v>56</v>
      </c>
      <c r="AT152" s="24">
        <v>136.61250000000001</v>
      </c>
    </row>
    <row r="153" spans="2:46" x14ac:dyDescent="0.3">
      <c r="B153" t="s">
        <v>41</v>
      </c>
      <c r="C153">
        <v>2021</v>
      </c>
      <c r="D153" t="s">
        <v>56</v>
      </c>
      <c r="E153">
        <v>162.5</v>
      </c>
      <c r="V153" t="s">
        <v>44</v>
      </c>
      <c r="W153">
        <v>2021</v>
      </c>
      <c r="X153" t="s">
        <v>56</v>
      </c>
      <c r="Y153" s="24">
        <v>146.13333333333333</v>
      </c>
      <c r="AQ153" t="s">
        <v>45</v>
      </c>
      <c r="AR153">
        <v>2021</v>
      </c>
      <c r="AS153" t="s">
        <v>56</v>
      </c>
      <c r="AT153" s="24">
        <v>134.82499999999999</v>
      </c>
    </row>
    <row r="154" spans="2:46" x14ac:dyDescent="0.3">
      <c r="B154" t="s">
        <v>44</v>
      </c>
      <c r="C154">
        <v>2021</v>
      </c>
      <c r="D154" t="s">
        <v>56</v>
      </c>
      <c r="E154">
        <v>154.1</v>
      </c>
      <c r="V154" t="s">
        <v>45</v>
      </c>
      <c r="W154">
        <v>2021</v>
      </c>
      <c r="X154" t="s">
        <v>56</v>
      </c>
      <c r="Y154" s="24">
        <v>150.23333333333332</v>
      </c>
      <c r="AQ154" t="s">
        <v>41</v>
      </c>
      <c r="AR154">
        <v>2021</v>
      </c>
      <c r="AS154" t="s">
        <v>57</v>
      </c>
      <c r="AT154" s="24">
        <v>129.79999999999998</v>
      </c>
    </row>
    <row r="155" spans="2:46" x14ac:dyDescent="0.3">
      <c r="B155" t="s">
        <v>45</v>
      </c>
      <c r="C155">
        <v>2021</v>
      </c>
      <c r="D155" t="s">
        <v>56</v>
      </c>
      <c r="E155">
        <v>159.30000000000001</v>
      </c>
      <c r="V155" t="s">
        <v>41</v>
      </c>
      <c r="W155">
        <v>2021</v>
      </c>
      <c r="X155" t="s">
        <v>57</v>
      </c>
      <c r="Y155" s="24">
        <v>156.93333333333331</v>
      </c>
      <c r="AQ155" t="s">
        <v>44</v>
      </c>
      <c r="AR155">
        <v>2021</v>
      </c>
      <c r="AS155" t="s">
        <v>57</v>
      </c>
      <c r="AT155" s="24">
        <v>133.80000000000001</v>
      </c>
    </row>
    <row r="156" spans="2:46" x14ac:dyDescent="0.3">
      <c r="B156" t="s">
        <v>41</v>
      </c>
      <c r="C156">
        <v>2021</v>
      </c>
      <c r="D156" t="s">
        <v>57</v>
      </c>
      <c r="E156">
        <v>164.3</v>
      </c>
      <c r="V156" t="s">
        <v>44</v>
      </c>
      <c r="W156">
        <v>2021</v>
      </c>
      <c r="X156" t="s">
        <v>57</v>
      </c>
      <c r="Y156" s="24">
        <v>148.13333333333333</v>
      </c>
      <c r="AQ156" t="s">
        <v>45</v>
      </c>
      <c r="AR156">
        <v>2021</v>
      </c>
      <c r="AS156" t="s">
        <v>57</v>
      </c>
      <c r="AT156" s="24">
        <v>131.1875</v>
      </c>
    </row>
    <row r="157" spans="2:46" x14ac:dyDescent="0.3">
      <c r="B157" t="s">
        <v>44</v>
      </c>
      <c r="C157">
        <v>2021</v>
      </c>
      <c r="D157" t="s">
        <v>57</v>
      </c>
      <c r="E157">
        <v>156.30000000000001</v>
      </c>
      <c r="V157" t="s">
        <v>45</v>
      </c>
      <c r="W157">
        <v>2021</v>
      </c>
      <c r="X157" t="s">
        <v>57</v>
      </c>
      <c r="Y157" s="24">
        <v>152.03333333333333</v>
      </c>
      <c r="AQ157" t="s">
        <v>41</v>
      </c>
      <c r="AR157">
        <v>2021</v>
      </c>
      <c r="AS157" t="s">
        <v>58</v>
      </c>
      <c r="AT157" s="24">
        <v>129.63750000000002</v>
      </c>
    </row>
    <row r="158" spans="2:46" x14ac:dyDescent="0.3">
      <c r="B158" t="s">
        <v>45</v>
      </c>
      <c r="C158">
        <v>2021</v>
      </c>
      <c r="D158" t="s">
        <v>57</v>
      </c>
      <c r="E158">
        <v>161.30000000000001</v>
      </c>
      <c r="V158" t="s">
        <v>41</v>
      </c>
      <c r="W158">
        <v>2021</v>
      </c>
      <c r="X158" t="s">
        <v>58</v>
      </c>
      <c r="Y158" s="24">
        <v>157.63333333333335</v>
      </c>
      <c r="AQ158" t="s">
        <v>44</v>
      </c>
      <c r="AR158">
        <v>2021</v>
      </c>
      <c r="AS158" t="s">
        <v>58</v>
      </c>
      <c r="AT158" s="24">
        <v>133.16249999999999</v>
      </c>
    </row>
    <row r="159" spans="2:46" x14ac:dyDescent="0.3">
      <c r="B159" t="s">
        <v>41</v>
      </c>
      <c r="C159">
        <v>2021</v>
      </c>
      <c r="D159" t="s">
        <v>58</v>
      </c>
      <c r="E159">
        <v>164.6</v>
      </c>
      <c r="V159" t="s">
        <v>44</v>
      </c>
      <c r="W159">
        <v>2021</v>
      </c>
      <c r="X159" t="s">
        <v>58</v>
      </c>
      <c r="Y159" s="24">
        <v>149.29999999999998</v>
      </c>
      <c r="AQ159" t="s">
        <v>45</v>
      </c>
      <c r="AR159">
        <v>2021</v>
      </c>
      <c r="AS159" t="s">
        <v>58</v>
      </c>
      <c r="AT159" s="24">
        <v>130.88749999999999</v>
      </c>
    </row>
    <row r="160" spans="2:46" x14ac:dyDescent="0.3">
      <c r="B160" t="s">
        <v>44</v>
      </c>
      <c r="C160">
        <v>2021</v>
      </c>
      <c r="D160" t="s">
        <v>58</v>
      </c>
      <c r="E160">
        <v>156.9</v>
      </c>
      <c r="V160" t="s">
        <v>45</v>
      </c>
      <c r="W160">
        <v>2021</v>
      </c>
      <c r="X160" t="s">
        <v>58</v>
      </c>
      <c r="Y160" s="24">
        <v>152.99999999999997</v>
      </c>
      <c r="AQ160" t="s">
        <v>41</v>
      </c>
      <c r="AR160">
        <v>2021</v>
      </c>
      <c r="AS160" t="s">
        <v>59</v>
      </c>
      <c r="AT160" s="24">
        <v>131.41250000000002</v>
      </c>
    </row>
    <row r="161" spans="2:46" x14ac:dyDescent="0.3">
      <c r="B161" t="s">
        <v>45</v>
      </c>
      <c r="C161">
        <v>2021</v>
      </c>
      <c r="D161" t="s">
        <v>58</v>
      </c>
      <c r="E161">
        <v>161.69999999999999</v>
      </c>
      <c r="V161" t="s">
        <v>41</v>
      </c>
      <c r="W161">
        <v>2021</v>
      </c>
      <c r="X161" t="s">
        <v>59</v>
      </c>
      <c r="Y161" s="24">
        <v>158.13333333333333</v>
      </c>
      <c r="AQ161" t="s">
        <v>44</v>
      </c>
      <c r="AR161">
        <v>2021</v>
      </c>
      <c r="AS161" t="s">
        <v>59</v>
      </c>
      <c r="AT161" s="24">
        <v>134.97499999999999</v>
      </c>
    </row>
    <row r="162" spans="2:46" x14ac:dyDescent="0.3">
      <c r="B162" t="s">
        <v>41</v>
      </c>
      <c r="C162">
        <v>2021</v>
      </c>
      <c r="D162" t="s">
        <v>59</v>
      </c>
      <c r="E162">
        <v>165.3</v>
      </c>
      <c r="V162" t="s">
        <v>44</v>
      </c>
      <c r="W162">
        <v>2021</v>
      </c>
      <c r="X162" t="s">
        <v>59</v>
      </c>
      <c r="Y162" s="24">
        <v>149.6</v>
      </c>
      <c r="AQ162" t="s">
        <v>45</v>
      </c>
      <c r="AR162">
        <v>2021</v>
      </c>
      <c r="AS162" t="s">
        <v>59</v>
      </c>
      <c r="AT162" s="24">
        <v>132.69999999999999</v>
      </c>
    </row>
    <row r="163" spans="2:46" x14ac:dyDescent="0.3">
      <c r="B163" t="s">
        <v>44</v>
      </c>
      <c r="C163">
        <v>2021</v>
      </c>
      <c r="D163" t="s">
        <v>59</v>
      </c>
      <c r="E163">
        <v>157.5</v>
      </c>
      <c r="V163" t="s">
        <v>45</v>
      </c>
      <c r="W163">
        <v>2021</v>
      </c>
      <c r="X163" t="s">
        <v>59</v>
      </c>
      <c r="Y163" s="24">
        <v>153.36666666666665</v>
      </c>
      <c r="AQ163" t="s">
        <v>41</v>
      </c>
      <c r="AR163">
        <v>2021</v>
      </c>
      <c r="AS163" t="s">
        <v>42</v>
      </c>
      <c r="AT163" s="24">
        <v>134.91249999999999</v>
      </c>
    </row>
    <row r="164" spans="2:46" x14ac:dyDescent="0.3">
      <c r="B164" t="s">
        <v>45</v>
      </c>
      <c r="C164">
        <v>2021</v>
      </c>
      <c r="D164" t="s">
        <v>59</v>
      </c>
      <c r="E164">
        <v>162.30000000000001</v>
      </c>
      <c r="V164" t="s">
        <v>41</v>
      </c>
      <c r="W164">
        <v>2021</v>
      </c>
      <c r="X164" t="s">
        <v>42</v>
      </c>
      <c r="Y164" s="24">
        <v>160.26666666666665</v>
      </c>
      <c r="AQ164" t="s">
        <v>44</v>
      </c>
      <c r="AR164">
        <v>2021</v>
      </c>
      <c r="AS164" t="s">
        <v>42</v>
      </c>
      <c r="AT164" s="24">
        <v>137.94999999999999</v>
      </c>
    </row>
    <row r="165" spans="2:46" x14ac:dyDescent="0.3">
      <c r="B165" t="s">
        <v>41</v>
      </c>
      <c r="C165">
        <v>2021</v>
      </c>
      <c r="D165" t="s">
        <v>42</v>
      </c>
      <c r="E165">
        <v>169.1</v>
      </c>
      <c r="V165" t="s">
        <v>44</v>
      </c>
      <c r="W165">
        <v>2021</v>
      </c>
      <c r="X165" t="s">
        <v>42</v>
      </c>
      <c r="Y165" s="24">
        <v>151.4</v>
      </c>
      <c r="AQ165" t="s">
        <v>45</v>
      </c>
      <c r="AR165">
        <v>2021</v>
      </c>
      <c r="AS165" t="s">
        <v>42</v>
      </c>
      <c r="AT165" s="24">
        <v>136.04999999999998</v>
      </c>
    </row>
    <row r="166" spans="2:46" x14ac:dyDescent="0.3">
      <c r="B166" t="s">
        <v>44</v>
      </c>
      <c r="C166">
        <v>2021</v>
      </c>
      <c r="D166" t="s">
        <v>42</v>
      </c>
      <c r="E166">
        <v>160.4</v>
      </c>
      <c r="V166" t="s">
        <v>45</v>
      </c>
      <c r="W166">
        <v>2021</v>
      </c>
      <c r="X166" t="s">
        <v>42</v>
      </c>
      <c r="Y166" s="24">
        <v>155.30000000000001</v>
      </c>
      <c r="AQ166" t="s">
        <v>41</v>
      </c>
      <c r="AR166">
        <v>2021</v>
      </c>
      <c r="AS166" t="s">
        <v>60</v>
      </c>
      <c r="AT166" s="24">
        <v>136.17500000000001</v>
      </c>
    </row>
    <row r="167" spans="2:46" x14ac:dyDescent="0.3">
      <c r="B167" t="s">
        <v>45</v>
      </c>
      <c r="C167">
        <v>2021</v>
      </c>
      <c r="D167" t="s">
        <v>42</v>
      </c>
      <c r="E167">
        <v>165.8</v>
      </c>
      <c r="V167" t="s">
        <v>41</v>
      </c>
      <c r="W167">
        <v>2021</v>
      </c>
      <c r="X167" t="s">
        <v>60</v>
      </c>
      <c r="Y167" s="24">
        <v>160.46666666666667</v>
      </c>
      <c r="AQ167" t="s">
        <v>44</v>
      </c>
      <c r="AR167">
        <v>2021</v>
      </c>
      <c r="AS167" t="s">
        <v>60</v>
      </c>
      <c r="AT167" s="24">
        <v>139.69999999999999</v>
      </c>
    </row>
    <row r="168" spans="2:46" x14ac:dyDescent="0.3">
      <c r="B168" t="s">
        <v>41</v>
      </c>
      <c r="C168">
        <v>2021</v>
      </c>
      <c r="D168" t="s">
        <v>60</v>
      </c>
      <c r="E168">
        <v>169.7</v>
      </c>
      <c r="V168" t="s">
        <v>44</v>
      </c>
      <c r="W168">
        <v>2021</v>
      </c>
      <c r="X168" t="s">
        <v>60</v>
      </c>
      <c r="Y168" s="24">
        <v>152.1</v>
      </c>
      <c r="AQ168" t="s">
        <v>45</v>
      </c>
      <c r="AR168">
        <v>2021</v>
      </c>
      <c r="AS168" t="s">
        <v>60</v>
      </c>
      <c r="AT168" s="24">
        <v>137.5</v>
      </c>
    </row>
    <row r="169" spans="2:46" x14ac:dyDescent="0.3">
      <c r="B169" t="s">
        <v>44</v>
      </c>
      <c r="C169">
        <v>2021</v>
      </c>
      <c r="D169" t="s">
        <v>60</v>
      </c>
      <c r="E169">
        <v>160.80000000000001</v>
      </c>
      <c r="V169" t="s">
        <v>45</v>
      </c>
      <c r="W169">
        <v>2021</v>
      </c>
      <c r="X169" t="s">
        <v>60</v>
      </c>
      <c r="Y169" s="24">
        <v>155.76666666666668</v>
      </c>
      <c r="AQ169" t="s">
        <v>41</v>
      </c>
      <c r="AR169">
        <v>2021</v>
      </c>
      <c r="AS169" t="s">
        <v>61</v>
      </c>
      <c r="AT169" s="24">
        <v>136.4375</v>
      </c>
    </row>
    <row r="170" spans="2:46" x14ac:dyDescent="0.3">
      <c r="B170" t="s">
        <v>45</v>
      </c>
      <c r="C170">
        <v>2021</v>
      </c>
      <c r="D170" t="s">
        <v>60</v>
      </c>
      <c r="E170">
        <v>166.3</v>
      </c>
      <c r="V170" t="s">
        <v>41</v>
      </c>
      <c r="W170">
        <v>2021</v>
      </c>
      <c r="X170" t="s">
        <v>61</v>
      </c>
      <c r="Y170" s="24">
        <v>161.66666666666666</v>
      </c>
      <c r="AQ170" t="s">
        <v>44</v>
      </c>
      <c r="AR170">
        <v>2021</v>
      </c>
      <c r="AS170" t="s">
        <v>61</v>
      </c>
      <c r="AT170" s="24">
        <v>140.36250000000001</v>
      </c>
    </row>
    <row r="171" spans="2:46" x14ac:dyDescent="0.3">
      <c r="B171" t="s">
        <v>41</v>
      </c>
      <c r="C171">
        <v>2021</v>
      </c>
      <c r="D171" t="s">
        <v>61</v>
      </c>
      <c r="E171">
        <v>170.4</v>
      </c>
      <c r="V171" t="s">
        <v>44</v>
      </c>
      <c r="W171">
        <v>2021</v>
      </c>
      <c r="X171" t="s">
        <v>61</v>
      </c>
      <c r="Y171" s="24">
        <v>153.66666666666666</v>
      </c>
      <c r="AQ171" t="s">
        <v>45</v>
      </c>
      <c r="AR171">
        <v>2021</v>
      </c>
      <c r="AS171" t="s">
        <v>61</v>
      </c>
      <c r="AT171" s="24">
        <v>137.92499999999998</v>
      </c>
    </row>
    <row r="172" spans="2:46" x14ac:dyDescent="0.3">
      <c r="B172" t="s">
        <v>44</v>
      </c>
      <c r="C172">
        <v>2021</v>
      </c>
      <c r="D172" t="s">
        <v>61</v>
      </c>
      <c r="E172">
        <v>161.5</v>
      </c>
      <c r="V172" t="s">
        <v>45</v>
      </c>
      <c r="W172">
        <v>2021</v>
      </c>
      <c r="X172" t="s">
        <v>61</v>
      </c>
      <c r="Y172" s="24">
        <v>157.19999999999999</v>
      </c>
      <c r="AQ172" t="s">
        <v>41</v>
      </c>
      <c r="AR172">
        <v>2021</v>
      </c>
      <c r="AS172" t="s">
        <v>62</v>
      </c>
      <c r="AT172" s="24">
        <v>136.65</v>
      </c>
    </row>
    <row r="173" spans="2:46" x14ac:dyDescent="0.3">
      <c r="B173" t="s">
        <v>45</v>
      </c>
      <c r="C173">
        <v>2021</v>
      </c>
      <c r="D173" t="s">
        <v>61</v>
      </c>
      <c r="E173">
        <v>167</v>
      </c>
      <c r="V173" t="s">
        <v>41</v>
      </c>
      <c r="W173">
        <v>2021</v>
      </c>
      <c r="X173" t="s">
        <v>62</v>
      </c>
      <c r="Y173" s="24">
        <v>162.1</v>
      </c>
      <c r="AQ173" t="s">
        <v>44</v>
      </c>
      <c r="AR173">
        <v>2021</v>
      </c>
      <c r="AS173" t="s">
        <v>62</v>
      </c>
      <c r="AT173" s="24">
        <v>140</v>
      </c>
    </row>
    <row r="174" spans="2:46" x14ac:dyDescent="0.3">
      <c r="B174" t="s">
        <v>41</v>
      </c>
      <c r="C174">
        <v>2021</v>
      </c>
      <c r="D174" t="s">
        <v>62</v>
      </c>
      <c r="E174">
        <v>171.1</v>
      </c>
      <c r="V174" t="s">
        <v>44</v>
      </c>
      <c r="W174">
        <v>2021</v>
      </c>
      <c r="X174" t="s">
        <v>62</v>
      </c>
      <c r="Y174" s="24">
        <v>154.83333333333334</v>
      </c>
      <c r="AQ174" t="s">
        <v>45</v>
      </c>
      <c r="AR174">
        <v>2021</v>
      </c>
      <c r="AS174" t="s">
        <v>62</v>
      </c>
      <c r="AT174" s="24">
        <v>138.27500000000001</v>
      </c>
    </row>
    <row r="175" spans="2:46" x14ac:dyDescent="0.3">
      <c r="B175" t="s">
        <v>44</v>
      </c>
      <c r="C175">
        <v>2021</v>
      </c>
      <c r="D175" t="s">
        <v>62</v>
      </c>
      <c r="E175">
        <v>162.80000000000001</v>
      </c>
      <c r="V175" t="s">
        <v>45</v>
      </c>
      <c r="W175">
        <v>2021</v>
      </c>
      <c r="X175" t="s">
        <v>62</v>
      </c>
      <c r="Y175" s="24">
        <v>158.46666666666667</v>
      </c>
      <c r="AQ175" t="s">
        <v>41</v>
      </c>
      <c r="AR175">
        <v>2021</v>
      </c>
      <c r="AS175" t="s">
        <v>63</v>
      </c>
      <c r="AT175" s="24">
        <v>137.28749999999999</v>
      </c>
    </row>
    <row r="176" spans="2:46" x14ac:dyDescent="0.3">
      <c r="B176" t="s">
        <v>45</v>
      </c>
      <c r="C176">
        <v>2021</v>
      </c>
      <c r="D176" t="s">
        <v>62</v>
      </c>
      <c r="E176">
        <v>168.4</v>
      </c>
      <c r="V176" t="s">
        <v>41</v>
      </c>
      <c r="W176">
        <v>2021</v>
      </c>
      <c r="X176" t="s">
        <v>63</v>
      </c>
      <c r="Y176" s="24">
        <v>163</v>
      </c>
      <c r="AQ176" t="s">
        <v>44</v>
      </c>
      <c r="AR176">
        <v>2021</v>
      </c>
      <c r="AS176" t="s">
        <v>63</v>
      </c>
      <c r="AT176" s="24">
        <v>140.01249999999999</v>
      </c>
    </row>
    <row r="177" spans="2:46" x14ac:dyDescent="0.3">
      <c r="B177" t="s">
        <v>41</v>
      </c>
      <c r="C177">
        <v>2021</v>
      </c>
      <c r="D177" t="s">
        <v>63</v>
      </c>
      <c r="E177">
        <v>171.9</v>
      </c>
      <c r="V177" t="s">
        <v>44</v>
      </c>
      <c r="W177">
        <v>2021</v>
      </c>
      <c r="X177" t="s">
        <v>63</v>
      </c>
      <c r="Y177" s="24">
        <v>154.9</v>
      </c>
      <c r="AQ177" t="s">
        <v>45</v>
      </c>
      <c r="AR177">
        <v>2021</v>
      </c>
      <c r="AS177" t="s">
        <v>63</v>
      </c>
      <c r="AT177" s="24">
        <v>138.27500000000001</v>
      </c>
    </row>
    <row r="178" spans="2:46" x14ac:dyDescent="0.3">
      <c r="B178" t="s">
        <v>44</v>
      </c>
      <c r="C178">
        <v>2021</v>
      </c>
      <c r="D178" t="s">
        <v>63</v>
      </c>
      <c r="E178">
        <v>162.80000000000001</v>
      </c>
      <c r="V178" t="s">
        <v>45</v>
      </c>
      <c r="W178">
        <v>2021</v>
      </c>
      <c r="X178" t="s">
        <v>63</v>
      </c>
      <c r="Y178" s="24">
        <v>158.46666666666667</v>
      </c>
      <c r="AQ178" t="s">
        <v>41</v>
      </c>
      <c r="AR178">
        <v>2021</v>
      </c>
      <c r="AS178" t="s">
        <v>64</v>
      </c>
      <c r="AT178" s="24">
        <v>140.66249999999999</v>
      </c>
    </row>
    <row r="179" spans="2:46" x14ac:dyDescent="0.3">
      <c r="B179" t="s">
        <v>45</v>
      </c>
      <c r="C179">
        <v>2021</v>
      </c>
      <c r="D179" t="s">
        <v>63</v>
      </c>
      <c r="E179">
        <v>168.4</v>
      </c>
      <c r="V179" t="s">
        <v>41</v>
      </c>
      <c r="W179">
        <v>2021</v>
      </c>
      <c r="X179" t="s">
        <v>64</v>
      </c>
      <c r="Y179" s="24">
        <v>163.9</v>
      </c>
      <c r="AQ179" t="s">
        <v>44</v>
      </c>
      <c r="AR179">
        <v>2021</v>
      </c>
      <c r="AS179" t="s">
        <v>64</v>
      </c>
      <c r="AT179" s="24">
        <v>144.375</v>
      </c>
    </row>
    <row r="180" spans="2:46" x14ac:dyDescent="0.3">
      <c r="B180" t="s">
        <v>41</v>
      </c>
      <c r="C180">
        <v>2021</v>
      </c>
      <c r="D180" t="s">
        <v>64</v>
      </c>
      <c r="E180">
        <v>172.5</v>
      </c>
      <c r="V180" t="s">
        <v>44</v>
      </c>
      <c r="W180">
        <v>2021</v>
      </c>
      <c r="X180" t="s">
        <v>64</v>
      </c>
      <c r="Y180" s="24">
        <v>155.86666666666665</v>
      </c>
      <c r="AQ180" t="s">
        <v>45</v>
      </c>
      <c r="AR180">
        <v>2021</v>
      </c>
      <c r="AS180" t="s">
        <v>64</v>
      </c>
      <c r="AT180" s="24">
        <v>141.92500000000001</v>
      </c>
    </row>
    <row r="181" spans="2:46" x14ac:dyDescent="0.3">
      <c r="B181" t="s">
        <v>44</v>
      </c>
      <c r="C181">
        <v>2021</v>
      </c>
      <c r="D181" t="s">
        <v>64</v>
      </c>
      <c r="E181">
        <v>163.5</v>
      </c>
      <c r="V181" t="s">
        <v>45</v>
      </c>
      <c r="W181">
        <v>2021</v>
      </c>
      <c r="X181" t="s">
        <v>64</v>
      </c>
      <c r="Y181" s="24">
        <v>159.39999999999998</v>
      </c>
      <c r="AQ181" t="s">
        <v>41</v>
      </c>
      <c r="AR181">
        <v>2021</v>
      </c>
      <c r="AS181" t="s">
        <v>65</v>
      </c>
      <c r="AT181" s="24">
        <v>142.58750000000001</v>
      </c>
    </row>
    <row r="182" spans="2:46" x14ac:dyDescent="0.3">
      <c r="B182" t="s">
        <v>45</v>
      </c>
      <c r="C182">
        <v>2021</v>
      </c>
      <c r="D182" t="s">
        <v>64</v>
      </c>
      <c r="E182">
        <v>169.1</v>
      </c>
      <c r="V182" t="s">
        <v>41</v>
      </c>
      <c r="W182">
        <v>2021</v>
      </c>
      <c r="X182" t="s">
        <v>65</v>
      </c>
      <c r="Y182" s="24">
        <v>164.00000000000003</v>
      </c>
      <c r="AQ182" t="s">
        <v>44</v>
      </c>
      <c r="AR182">
        <v>2021</v>
      </c>
      <c r="AS182" t="s">
        <v>65</v>
      </c>
      <c r="AT182" s="24">
        <v>146.45000000000002</v>
      </c>
    </row>
    <row r="183" spans="2:46" x14ac:dyDescent="0.3">
      <c r="B183" t="s">
        <v>41</v>
      </c>
      <c r="C183">
        <v>2021</v>
      </c>
      <c r="D183" t="s">
        <v>65</v>
      </c>
      <c r="E183">
        <v>173.4</v>
      </c>
      <c r="V183" t="s">
        <v>44</v>
      </c>
      <c r="W183">
        <v>2021</v>
      </c>
      <c r="X183" t="s">
        <v>65</v>
      </c>
      <c r="Y183" s="24">
        <v>156.23333333333332</v>
      </c>
      <c r="AQ183" t="s">
        <v>45</v>
      </c>
      <c r="AR183">
        <v>2021</v>
      </c>
      <c r="AS183" t="s">
        <v>65</v>
      </c>
      <c r="AT183" s="24">
        <v>143.91249999999999</v>
      </c>
    </row>
    <row r="184" spans="2:46" x14ac:dyDescent="0.3">
      <c r="B184" t="s">
        <v>44</v>
      </c>
      <c r="C184">
        <v>2021</v>
      </c>
      <c r="D184" t="s">
        <v>65</v>
      </c>
      <c r="E184">
        <v>164.2</v>
      </c>
      <c r="V184" t="s">
        <v>45</v>
      </c>
      <c r="W184">
        <v>2021</v>
      </c>
      <c r="X184" t="s">
        <v>65</v>
      </c>
      <c r="Y184" s="24">
        <v>159.63333333333335</v>
      </c>
      <c r="AQ184" t="s">
        <v>41</v>
      </c>
      <c r="AR184">
        <v>2021</v>
      </c>
      <c r="AS184" t="s">
        <v>66</v>
      </c>
      <c r="AT184" s="24">
        <v>140.53749999999999</v>
      </c>
    </row>
    <row r="185" spans="2:46" x14ac:dyDescent="0.3">
      <c r="B185" t="s">
        <v>45</v>
      </c>
      <c r="C185">
        <v>2021</v>
      </c>
      <c r="D185" t="s">
        <v>65</v>
      </c>
      <c r="E185">
        <v>169.9</v>
      </c>
      <c r="V185" t="s">
        <v>41</v>
      </c>
      <c r="W185">
        <v>2021</v>
      </c>
      <c r="X185" t="s">
        <v>66</v>
      </c>
      <c r="Y185" s="24">
        <v>164.76666666666668</v>
      </c>
      <c r="AQ185" t="s">
        <v>44</v>
      </c>
      <c r="AR185">
        <v>2021</v>
      </c>
      <c r="AS185" t="s">
        <v>66</v>
      </c>
      <c r="AT185" s="24">
        <v>144.65</v>
      </c>
    </row>
    <row r="186" spans="2:46" x14ac:dyDescent="0.3">
      <c r="B186" t="s">
        <v>41</v>
      </c>
      <c r="C186">
        <v>2021</v>
      </c>
      <c r="D186" t="s">
        <v>66</v>
      </c>
      <c r="E186">
        <v>174</v>
      </c>
      <c r="V186" t="s">
        <v>44</v>
      </c>
      <c r="W186">
        <v>2021</v>
      </c>
      <c r="X186" t="s">
        <v>66</v>
      </c>
      <c r="Y186" s="24">
        <v>156.66666666666666</v>
      </c>
      <c r="AQ186" t="s">
        <v>45</v>
      </c>
      <c r="AR186">
        <v>2021</v>
      </c>
      <c r="AS186" t="s">
        <v>66</v>
      </c>
      <c r="AT186" s="24">
        <v>141.92500000000001</v>
      </c>
    </row>
    <row r="187" spans="2:46" x14ac:dyDescent="0.3">
      <c r="B187" t="s">
        <v>44</v>
      </c>
      <c r="C187">
        <v>2021</v>
      </c>
      <c r="D187" t="s">
        <v>66</v>
      </c>
      <c r="E187">
        <v>165.1</v>
      </c>
      <c r="V187" t="s">
        <v>45</v>
      </c>
      <c r="W187">
        <v>2021</v>
      </c>
      <c r="X187" t="s">
        <v>66</v>
      </c>
      <c r="Y187" s="24">
        <v>160.23333333333332</v>
      </c>
      <c r="AQ187" t="s">
        <v>41</v>
      </c>
      <c r="AR187">
        <v>2022</v>
      </c>
      <c r="AS187" t="s">
        <v>56</v>
      </c>
      <c r="AT187" s="24">
        <v>138.48749999999998</v>
      </c>
    </row>
    <row r="188" spans="2:46" x14ac:dyDescent="0.3">
      <c r="B188" t="s">
        <v>45</v>
      </c>
      <c r="C188">
        <v>2021</v>
      </c>
      <c r="D188" t="s">
        <v>66</v>
      </c>
      <c r="E188">
        <v>170.6</v>
      </c>
      <c r="V188" t="s">
        <v>41</v>
      </c>
      <c r="W188">
        <v>2022</v>
      </c>
      <c r="X188" t="s">
        <v>56</v>
      </c>
      <c r="Y188" s="24">
        <v>165.20000000000002</v>
      </c>
      <c r="AQ188" t="s">
        <v>44</v>
      </c>
      <c r="AR188">
        <v>2022</v>
      </c>
      <c r="AS188" t="s">
        <v>56</v>
      </c>
      <c r="AT188" s="24">
        <v>142.27499999999998</v>
      </c>
    </row>
    <row r="189" spans="2:46" x14ac:dyDescent="0.3">
      <c r="B189" t="s">
        <v>41</v>
      </c>
      <c r="C189">
        <v>2022</v>
      </c>
      <c r="D189" t="s">
        <v>56</v>
      </c>
      <c r="E189">
        <v>174.7</v>
      </c>
      <c r="V189" t="s">
        <v>44</v>
      </c>
      <c r="W189">
        <v>2022</v>
      </c>
      <c r="X189" t="s">
        <v>56</v>
      </c>
      <c r="Y189" s="24">
        <v>157.36666666666667</v>
      </c>
      <c r="AQ189" t="s">
        <v>45</v>
      </c>
      <c r="AR189">
        <v>2022</v>
      </c>
      <c r="AS189" t="s">
        <v>56</v>
      </c>
      <c r="AT189" s="24">
        <v>139.77500000000001</v>
      </c>
    </row>
    <row r="190" spans="2:46" x14ac:dyDescent="0.3">
      <c r="B190" t="s">
        <v>44</v>
      </c>
      <c r="C190">
        <v>2022</v>
      </c>
      <c r="D190" t="s">
        <v>56</v>
      </c>
      <c r="E190">
        <v>166.1</v>
      </c>
      <c r="V190" t="s">
        <v>45</v>
      </c>
      <c r="W190">
        <v>2022</v>
      </c>
      <c r="X190" t="s">
        <v>56</v>
      </c>
      <c r="Y190" s="24">
        <v>160.79999999999998</v>
      </c>
      <c r="AQ190" t="s">
        <v>41</v>
      </c>
      <c r="AR190">
        <v>2022</v>
      </c>
      <c r="AS190" t="s">
        <v>57</v>
      </c>
      <c r="AT190" s="24">
        <v>138.17500000000001</v>
      </c>
    </row>
    <row r="191" spans="2:46" x14ac:dyDescent="0.3">
      <c r="B191" t="s">
        <v>45</v>
      </c>
      <c r="C191">
        <v>2022</v>
      </c>
      <c r="D191" t="s">
        <v>56</v>
      </c>
      <c r="E191">
        <v>171.4</v>
      </c>
      <c r="V191" t="s">
        <v>41</v>
      </c>
      <c r="W191">
        <v>2022</v>
      </c>
      <c r="X191" t="s">
        <v>57</v>
      </c>
      <c r="Y191" s="24">
        <v>165.66666666666666</v>
      </c>
      <c r="AQ191" t="s">
        <v>44</v>
      </c>
      <c r="AR191">
        <v>2022</v>
      </c>
      <c r="AS191" t="s">
        <v>57</v>
      </c>
      <c r="AT191" s="24">
        <v>141.79999999999998</v>
      </c>
    </row>
    <row r="192" spans="2:46" x14ac:dyDescent="0.3">
      <c r="B192" t="s">
        <v>41</v>
      </c>
      <c r="C192">
        <v>2022</v>
      </c>
      <c r="D192" t="s">
        <v>57</v>
      </c>
      <c r="E192">
        <v>175.3</v>
      </c>
      <c r="V192" t="s">
        <v>44</v>
      </c>
      <c r="W192">
        <v>2022</v>
      </c>
      <c r="X192" t="s">
        <v>57</v>
      </c>
      <c r="Y192" s="24">
        <v>158.20000000000002</v>
      </c>
      <c r="AQ192" t="s">
        <v>45</v>
      </c>
      <c r="AR192">
        <v>2022</v>
      </c>
      <c r="AS192" t="s">
        <v>57</v>
      </c>
      <c r="AT192" s="24">
        <v>139.4</v>
      </c>
    </row>
    <row r="193" spans="2:46" x14ac:dyDescent="0.3">
      <c r="B193" t="s">
        <v>44</v>
      </c>
      <c r="C193">
        <v>2022</v>
      </c>
      <c r="D193" t="s">
        <v>57</v>
      </c>
      <c r="E193">
        <v>167.2</v>
      </c>
      <c r="V193" t="s">
        <v>45</v>
      </c>
      <c r="W193">
        <v>2022</v>
      </c>
      <c r="X193" t="s">
        <v>57</v>
      </c>
      <c r="Y193" s="24">
        <v>161.46666666666667</v>
      </c>
      <c r="AQ193" t="s">
        <v>41</v>
      </c>
      <c r="AR193">
        <v>2022</v>
      </c>
      <c r="AS193" t="s">
        <v>58</v>
      </c>
      <c r="AT193" s="24">
        <v>140.75</v>
      </c>
    </row>
    <row r="194" spans="2:46" x14ac:dyDescent="0.3">
      <c r="B194" t="s">
        <v>45</v>
      </c>
      <c r="C194">
        <v>2022</v>
      </c>
      <c r="D194" t="s">
        <v>57</v>
      </c>
      <c r="E194">
        <v>172.2</v>
      </c>
      <c r="V194" t="s">
        <v>41</v>
      </c>
      <c r="W194">
        <v>2022</v>
      </c>
      <c r="X194" t="s">
        <v>58</v>
      </c>
      <c r="Y194" s="24">
        <v>166.4</v>
      </c>
      <c r="AQ194" t="s">
        <v>44</v>
      </c>
      <c r="AR194">
        <v>2022</v>
      </c>
      <c r="AS194" t="s">
        <v>58</v>
      </c>
      <c r="AT194" s="24">
        <v>142.51249999999999</v>
      </c>
    </row>
    <row r="195" spans="2:46" x14ac:dyDescent="0.3">
      <c r="B195" t="s">
        <v>41</v>
      </c>
      <c r="C195">
        <v>2022</v>
      </c>
      <c r="D195" t="s">
        <v>58</v>
      </c>
      <c r="E195">
        <v>176</v>
      </c>
      <c r="V195" t="s">
        <v>44</v>
      </c>
      <c r="W195">
        <v>2022</v>
      </c>
      <c r="X195" t="s">
        <v>58</v>
      </c>
      <c r="Y195" s="24">
        <v>159.23333333333332</v>
      </c>
      <c r="AQ195" t="s">
        <v>45</v>
      </c>
      <c r="AR195">
        <v>2022</v>
      </c>
      <c r="AS195" t="s">
        <v>58</v>
      </c>
      <c r="AT195" s="24">
        <v>141.3125</v>
      </c>
    </row>
    <row r="196" spans="2:46" x14ac:dyDescent="0.3">
      <c r="B196" t="s">
        <v>44</v>
      </c>
      <c r="C196">
        <v>2022</v>
      </c>
      <c r="D196" t="s">
        <v>58</v>
      </c>
      <c r="E196">
        <v>168.2</v>
      </c>
      <c r="V196" t="s">
        <v>45</v>
      </c>
      <c r="W196">
        <v>2022</v>
      </c>
      <c r="X196" t="s">
        <v>58</v>
      </c>
      <c r="Y196" s="24">
        <v>162.4</v>
      </c>
      <c r="AQ196" t="s">
        <v>41</v>
      </c>
      <c r="AR196">
        <v>2022</v>
      </c>
      <c r="AS196" t="s">
        <v>59</v>
      </c>
      <c r="AT196" s="24">
        <v>143.58750000000003</v>
      </c>
    </row>
    <row r="197" spans="2:46" x14ac:dyDescent="0.3">
      <c r="B197" t="s">
        <v>45</v>
      </c>
      <c r="C197">
        <v>2022</v>
      </c>
      <c r="D197" t="s">
        <v>58</v>
      </c>
      <c r="E197">
        <v>173</v>
      </c>
      <c r="V197" t="s">
        <v>41</v>
      </c>
      <c r="W197">
        <v>2022</v>
      </c>
      <c r="X197" t="s">
        <v>59</v>
      </c>
      <c r="Y197" s="24">
        <v>168.1</v>
      </c>
      <c r="AQ197" t="s">
        <v>44</v>
      </c>
      <c r="AR197">
        <v>2022</v>
      </c>
      <c r="AS197" t="s">
        <v>59</v>
      </c>
      <c r="AT197" s="24">
        <v>146.3125</v>
      </c>
    </row>
    <row r="198" spans="2:46" x14ac:dyDescent="0.3">
      <c r="B198" t="s">
        <v>41</v>
      </c>
      <c r="C198">
        <v>2022</v>
      </c>
      <c r="D198" t="s">
        <v>59</v>
      </c>
      <c r="E198">
        <v>177</v>
      </c>
      <c r="V198" t="s">
        <v>44</v>
      </c>
      <c r="W198">
        <v>2022</v>
      </c>
      <c r="X198" t="s">
        <v>59</v>
      </c>
      <c r="Y198" s="24">
        <v>161.83333333333334</v>
      </c>
      <c r="AQ198" t="s">
        <v>45</v>
      </c>
      <c r="AR198">
        <v>2022</v>
      </c>
      <c r="AS198" t="s">
        <v>59</v>
      </c>
      <c r="AT198" s="24">
        <v>144.52500000000001</v>
      </c>
    </row>
    <row r="199" spans="2:46" x14ac:dyDescent="0.3">
      <c r="B199" t="s">
        <v>44</v>
      </c>
      <c r="C199">
        <v>2022</v>
      </c>
      <c r="D199" t="s">
        <v>59</v>
      </c>
      <c r="E199">
        <v>169</v>
      </c>
      <c r="V199" t="s">
        <v>45</v>
      </c>
      <c r="W199">
        <v>2022</v>
      </c>
      <c r="X199" t="s">
        <v>59</v>
      </c>
      <c r="Y199" s="24">
        <v>164.63333333333333</v>
      </c>
      <c r="AQ199" t="s">
        <v>41</v>
      </c>
      <c r="AR199">
        <v>2022</v>
      </c>
      <c r="AS199" t="s">
        <v>42</v>
      </c>
      <c r="AT199" s="24">
        <v>145.21249999999998</v>
      </c>
    </row>
    <row r="200" spans="2:46" x14ac:dyDescent="0.3">
      <c r="B200" t="s">
        <v>45</v>
      </c>
      <c r="C200">
        <v>2022</v>
      </c>
      <c r="D200" t="s">
        <v>59</v>
      </c>
      <c r="E200">
        <v>174</v>
      </c>
      <c r="V200" t="s">
        <v>41</v>
      </c>
      <c r="W200">
        <v>2022</v>
      </c>
      <c r="X200" t="s">
        <v>42</v>
      </c>
      <c r="Y200" s="24">
        <v>168.83333333333334</v>
      </c>
      <c r="AQ200" t="s">
        <v>44</v>
      </c>
      <c r="AR200">
        <v>2022</v>
      </c>
      <c r="AS200" t="s">
        <v>42</v>
      </c>
      <c r="AT200" s="24">
        <v>148.82500000000002</v>
      </c>
    </row>
    <row r="201" spans="2:46" x14ac:dyDescent="0.3">
      <c r="B201" t="s">
        <v>41</v>
      </c>
      <c r="C201">
        <v>2022</v>
      </c>
      <c r="D201" t="s">
        <v>42</v>
      </c>
      <c r="E201">
        <v>177.7</v>
      </c>
      <c r="V201" t="s">
        <v>44</v>
      </c>
      <c r="W201">
        <v>2022</v>
      </c>
      <c r="X201" t="s">
        <v>42</v>
      </c>
      <c r="Y201" s="24">
        <v>162.6</v>
      </c>
      <c r="AQ201" t="s">
        <v>45</v>
      </c>
      <c r="AR201">
        <v>2022</v>
      </c>
      <c r="AS201" t="s">
        <v>42</v>
      </c>
      <c r="AT201" s="24">
        <v>146.46250000000001</v>
      </c>
    </row>
    <row r="202" spans="2:46" x14ac:dyDescent="0.3">
      <c r="B202" t="s">
        <v>44</v>
      </c>
      <c r="C202">
        <v>2022</v>
      </c>
      <c r="D202" t="s">
        <v>42</v>
      </c>
      <c r="E202">
        <v>170.1</v>
      </c>
      <c r="V202" t="s">
        <v>45</v>
      </c>
      <c r="W202">
        <v>2022</v>
      </c>
      <c r="X202" t="s">
        <v>42</v>
      </c>
      <c r="Y202" s="24">
        <v>165.33333333333334</v>
      </c>
      <c r="AQ202" t="s">
        <v>41</v>
      </c>
      <c r="AR202">
        <v>2022</v>
      </c>
      <c r="AS202" t="s">
        <v>60</v>
      </c>
      <c r="AT202" s="24">
        <v>145.95000000000002</v>
      </c>
    </row>
    <row r="203" spans="2:46" x14ac:dyDescent="0.3">
      <c r="B203" t="s">
        <v>45</v>
      </c>
      <c r="C203">
        <v>2022</v>
      </c>
      <c r="D203" t="s">
        <v>42</v>
      </c>
      <c r="E203">
        <v>174.8</v>
      </c>
      <c r="V203" t="s">
        <v>41</v>
      </c>
      <c r="W203">
        <v>2022</v>
      </c>
      <c r="X203" t="s">
        <v>60</v>
      </c>
      <c r="Y203" s="24">
        <v>168.70000000000002</v>
      </c>
      <c r="AQ203" t="s">
        <v>44</v>
      </c>
      <c r="AR203">
        <v>2022</v>
      </c>
      <c r="AS203" t="s">
        <v>60</v>
      </c>
      <c r="AT203" s="24">
        <v>150.02500000000001</v>
      </c>
    </row>
    <row r="204" spans="2:46" x14ac:dyDescent="0.3">
      <c r="B204" t="s">
        <v>41</v>
      </c>
      <c r="C204">
        <v>2022</v>
      </c>
      <c r="D204" t="s">
        <v>60</v>
      </c>
      <c r="E204">
        <v>178.2</v>
      </c>
      <c r="V204" t="s">
        <v>44</v>
      </c>
      <c r="W204">
        <v>2022</v>
      </c>
      <c r="X204" t="s">
        <v>60</v>
      </c>
      <c r="Y204" s="24">
        <v>162.6</v>
      </c>
      <c r="AQ204" t="s">
        <v>45</v>
      </c>
      <c r="AR204">
        <v>2022</v>
      </c>
      <c r="AS204" t="s">
        <v>60</v>
      </c>
      <c r="AT204" s="24">
        <v>147.39999999999998</v>
      </c>
    </row>
    <row r="205" spans="2:46" x14ac:dyDescent="0.3">
      <c r="B205" t="s">
        <v>44</v>
      </c>
      <c r="C205">
        <v>2022</v>
      </c>
      <c r="D205" t="s">
        <v>60</v>
      </c>
      <c r="E205">
        <v>170.9</v>
      </c>
      <c r="V205" t="s">
        <v>45</v>
      </c>
      <c r="W205">
        <v>2022</v>
      </c>
      <c r="X205" t="s">
        <v>60</v>
      </c>
      <c r="Y205" s="24">
        <v>165.29999999999998</v>
      </c>
      <c r="AQ205" t="s">
        <v>41</v>
      </c>
      <c r="AR205">
        <v>2022</v>
      </c>
      <c r="AS205" t="s">
        <v>61</v>
      </c>
      <c r="AT205" s="24">
        <v>146.375</v>
      </c>
    </row>
    <row r="206" spans="2:46" x14ac:dyDescent="0.3">
      <c r="B206" t="s">
        <v>45</v>
      </c>
      <c r="C206">
        <v>2022</v>
      </c>
      <c r="D206" t="s">
        <v>60</v>
      </c>
      <c r="E206">
        <v>175.4</v>
      </c>
      <c r="V206" t="s">
        <v>41</v>
      </c>
      <c r="W206">
        <v>2022</v>
      </c>
      <c r="X206" t="s">
        <v>61</v>
      </c>
      <c r="Y206" s="24">
        <v>169.86666666666665</v>
      </c>
      <c r="AQ206" t="s">
        <v>44</v>
      </c>
      <c r="AR206">
        <v>2022</v>
      </c>
      <c r="AS206" t="s">
        <v>61</v>
      </c>
      <c r="AT206" s="24">
        <v>150.48750000000001</v>
      </c>
    </row>
    <row r="207" spans="2:46" x14ac:dyDescent="0.3">
      <c r="B207" t="s">
        <v>41</v>
      </c>
      <c r="C207">
        <v>2022</v>
      </c>
      <c r="D207" t="s">
        <v>61</v>
      </c>
      <c r="E207">
        <v>178.8</v>
      </c>
      <c r="V207" t="s">
        <v>44</v>
      </c>
      <c r="W207">
        <v>2022</v>
      </c>
      <c r="X207" t="s">
        <v>61</v>
      </c>
      <c r="Y207" s="24">
        <v>163.70000000000002</v>
      </c>
      <c r="AQ207" t="s">
        <v>45</v>
      </c>
      <c r="AR207">
        <v>2022</v>
      </c>
      <c r="AS207" t="s">
        <v>61</v>
      </c>
      <c r="AT207" s="24">
        <v>147.86250000000001</v>
      </c>
    </row>
    <row r="208" spans="2:46" x14ac:dyDescent="0.3">
      <c r="B208" t="s">
        <v>44</v>
      </c>
      <c r="C208">
        <v>2022</v>
      </c>
      <c r="D208" t="s">
        <v>61</v>
      </c>
      <c r="E208">
        <v>171.7</v>
      </c>
      <c r="V208" t="s">
        <v>45</v>
      </c>
      <c r="W208">
        <v>2022</v>
      </c>
      <c r="X208" t="s">
        <v>61</v>
      </c>
      <c r="Y208" s="24">
        <v>166.43333333333331</v>
      </c>
      <c r="AQ208" t="s">
        <v>41</v>
      </c>
      <c r="AR208">
        <v>2022</v>
      </c>
      <c r="AS208" t="s">
        <v>62</v>
      </c>
      <c r="AT208" s="24">
        <v>147.85</v>
      </c>
    </row>
    <row r="209" spans="2:46" x14ac:dyDescent="0.3">
      <c r="B209" t="s">
        <v>45</v>
      </c>
      <c r="C209">
        <v>2022</v>
      </c>
      <c r="D209" t="s">
        <v>61</v>
      </c>
      <c r="E209">
        <v>176.1</v>
      </c>
      <c r="V209" t="s">
        <v>41</v>
      </c>
      <c r="W209">
        <v>2022</v>
      </c>
      <c r="X209" t="s">
        <v>62</v>
      </c>
      <c r="Y209" s="24">
        <v>170.53333333333333</v>
      </c>
      <c r="AQ209" t="s">
        <v>44</v>
      </c>
      <c r="AR209">
        <v>2022</v>
      </c>
      <c r="AS209" t="s">
        <v>62</v>
      </c>
      <c r="AT209" s="24">
        <v>151.75000000000003</v>
      </c>
    </row>
    <row r="210" spans="2:46" x14ac:dyDescent="0.3">
      <c r="B210" t="s">
        <v>41</v>
      </c>
      <c r="C210">
        <v>2022</v>
      </c>
      <c r="D210" t="s">
        <v>62</v>
      </c>
      <c r="E210">
        <v>179.4</v>
      </c>
      <c r="V210" t="s">
        <v>44</v>
      </c>
      <c r="W210">
        <v>2022</v>
      </c>
      <c r="X210" t="s">
        <v>62</v>
      </c>
      <c r="Y210" s="24">
        <v>164.23333333333332</v>
      </c>
      <c r="AQ210" t="s">
        <v>45</v>
      </c>
      <c r="AR210">
        <v>2022</v>
      </c>
      <c r="AS210" t="s">
        <v>62</v>
      </c>
      <c r="AT210" s="24">
        <v>149.25</v>
      </c>
    </row>
    <row r="211" spans="2:46" x14ac:dyDescent="0.3">
      <c r="B211" t="s">
        <v>44</v>
      </c>
      <c r="C211">
        <v>2022</v>
      </c>
      <c r="D211" t="s">
        <v>62</v>
      </c>
      <c r="E211">
        <v>172.6</v>
      </c>
      <c r="V211" t="s">
        <v>45</v>
      </c>
      <c r="W211">
        <v>2022</v>
      </c>
      <c r="X211" t="s">
        <v>62</v>
      </c>
      <c r="Y211" s="24">
        <v>167.03333333333333</v>
      </c>
      <c r="AQ211" t="s">
        <v>41</v>
      </c>
      <c r="AR211">
        <v>2022</v>
      </c>
      <c r="AS211" t="s">
        <v>63</v>
      </c>
      <c r="AT211" s="24">
        <v>148.36249999999998</v>
      </c>
    </row>
    <row r="212" spans="2:46" x14ac:dyDescent="0.3">
      <c r="B212" t="s">
        <v>45</v>
      </c>
      <c r="C212">
        <v>2022</v>
      </c>
      <c r="D212" t="s">
        <v>62</v>
      </c>
      <c r="E212">
        <v>176.8</v>
      </c>
      <c r="V212" t="s">
        <v>41</v>
      </c>
      <c r="W212">
        <v>2022</v>
      </c>
      <c r="X212" t="s">
        <v>63</v>
      </c>
      <c r="Y212" s="24">
        <v>171.0333333333333</v>
      </c>
      <c r="AQ212" t="s">
        <v>44</v>
      </c>
      <c r="AR212">
        <v>2022</v>
      </c>
      <c r="AS212" t="s">
        <v>63</v>
      </c>
      <c r="AT212" s="24">
        <v>152.29999999999998</v>
      </c>
    </row>
    <row r="213" spans="2:46" x14ac:dyDescent="0.3">
      <c r="B213" t="s">
        <v>41</v>
      </c>
      <c r="C213">
        <v>2022</v>
      </c>
      <c r="D213" t="s">
        <v>63</v>
      </c>
      <c r="E213">
        <v>180.2</v>
      </c>
      <c r="V213" t="s">
        <v>44</v>
      </c>
      <c r="W213">
        <v>2022</v>
      </c>
      <c r="X213" t="s">
        <v>63</v>
      </c>
      <c r="Y213" s="24">
        <v>164.96666666666667</v>
      </c>
      <c r="AQ213" t="s">
        <v>45</v>
      </c>
      <c r="AR213">
        <v>2022</v>
      </c>
      <c r="AS213" t="s">
        <v>63</v>
      </c>
      <c r="AT213" s="24">
        <v>149.71250000000001</v>
      </c>
    </row>
    <row r="214" spans="2:46" x14ac:dyDescent="0.3">
      <c r="B214" t="s">
        <v>44</v>
      </c>
      <c r="C214">
        <v>2022</v>
      </c>
      <c r="D214" t="s">
        <v>63</v>
      </c>
      <c r="E214">
        <v>173.8</v>
      </c>
      <c r="V214" t="s">
        <v>45</v>
      </c>
      <c r="W214">
        <v>2022</v>
      </c>
      <c r="X214" t="s">
        <v>63</v>
      </c>
      <c r="Y214" s="24">
        <v>167.66666666666666</v>
      </c>
      <c r="AQ214" t="s">
        <v>41</v>
      </c>
      <c r="AR214">
        <v>2022</v>
      </c>
      <c r="AS214" t="s">
        <v>64</v>
      </c>
      <c r="AT214" s="24">
        <v>149.46250000000001</v>
      </c>
    </row>
    <row r="215" spans="2:46" x14ac:dyDescent="0.3">
      <c r="B215" t="s">
        <v>45</v>
      </c>
      <c r="C215">
        <v>2022</v>
      </c>
      <c r="D215" t="s">
        <v>63</v>
      </c>
      <c r="E215">
        <v>177.8</v>
      </c>
      <c r="V215" t="s">
        <v>41</v>
      </c>
      <c r="W215">
        <v>2022</v>
      </c>
      <c r="X215" t="s">
        <v>64</v>
      </c>
      <c r="Y215" s="24">
        <v>171.5</v>
      </c>
      <c r="AQ215" t="s">
        <v>44</v>
      </c>
      <c r="AR215">
        <v>2022</v>
      </c>
      <c r="AS215" t="s">
        <v>64</v>
      </c>
      <c r="AT215" s="24">
        <v>153.51250000000002</v>
      </c>
    </row>
    <row r="216" spans="2:46" x14ac:dyDescent="0.3">
      <c r="B216" t="s">
        <v>41</v>
      </c>
      <c r="C216">
        <v>2022</v>
      </c>
      <c r="D216" t="s">
        <v>64</v>
      </c>
      <c r="E216">
        <v>181.2</v>
      </c>
      <c r="V216" t="s">
        <v>44</v>
      </c>
      <c r="W216">
        <v>2022</v>
      </c>
      <c r="X216" t="s">
        <v>64</v>
      </c>
      <c r="Y216" s="24">
        <v>165.43333333333334</v>
      </c>
      <c r="AQ216" t="s">
        <v>45</v>
      </c>
      <c r="AR216">
        <v>2022</v>
      </c>
      <c r="AS216" t="s">
        <v>64</v>
      </c>
      <c r="AT216" s="24">
        <v>150.85</v>
      </c>
    </row>
    <row r="217" spans="2:46" x14ac:dyDescent="0.3">
      <c r="B217" t="s">
        <v>44</v>
      </c>
      <c r="C217">
        <v>2022</v>
      </c>
      <c r="D217" t="s">
        <v>64</v>
      </c>
      <c r="E217">
        <v>174.7</v>
      </c>
      <c r="V217" t="s">
        <v>45</v>
      </c>
      <c r="W217">
        <v>2022</v>
      </c>
      <c r="X217" t="s">
        <v>64</v>
      </c>
      <c r="Y217" s="24">
        <v>168.16666666666666</v>
      </c>
      <c r="AQ217" t="s">
        <v>41</v>
      </c>
      <c r="AR217">
        <v>2022</v>
      </c>
      <c r="AS217" t="s">
        <v>65</v>
      </c>
      <c r="AT217" s="24">
        <v>148.51249999999999</v>
      </c>
    </row>
    <row r="218" spans="2:46" x14ac:dyDescent="0.3">
      <c r="B218" t="s">
        <v>45</v>
      </c>
      <c r="C218">
        <v>2022</v>
      </c>
      <c r="D218" t="s">
        <v>64</v>
      </c>
      <c r="E218">
        <v>178.7</v>
      </c>
      <c r="V218" t="s">
        <v>41</v>
      </c>
      <c r="W218">
        <v>2022</v>
      </c>
      <c r="X218" t="s">
        <v>65</v>
      </c>
      <c r="Y218" s="24">
        <v>171.73333333333335</v>
      </c>
      <c r="AQ218" t="s">
        <v>44</v>
      </c>
      <c r="AR218">
        <v>2022</v>
      </c>
      <c r="AS218" t="s">
        <v>65</v>
      </c>
      <c r="AT218" s="24">
        <v>151.21250000000001</v>
      </c>
    </row>
    <row r="219" spans="2:46" x14ac:dyDescent="0.3">
      <c r="B219" t="s">
        <v>41</v>
      </c>
      <c r="C219">
        <v>2022</v>
      </c>
      <c r="D219" t="s">
        <v>65</v>
      </c>
      <c r="E219">
        <v>182.3</v>
      </c>
      <c r="V219" t="s">
        <v>44</v>
      </c>
      <c r="W219">
        <v>2022</v>
      </c>
      <c r="X219" t="s">
        <v>65</v>
      </c>
      <c r="Y219" s="24">
        <v>165.70000000000002</v>
      </c>
      <c r="AQ219" t="s">
        <v>45</v>
      </c>
      <c r="AR219">
        <v>2022</v>
      </c>
      <c r="AS219" t="s">
        <v>65</v>
      </c>
      <c r="AT219" s="24">
        <v>149.4375</v>
      </c>
    </row>
    <row r="220" spans="2:46" x14ac:dyDescent="0.3">
      <c r="B220" t="s">
        <v>44</v>
      </c>
      <c r="C220">
        <v>2022</v>
      </c>
      <c r="D220" t="s">
        <v>65</v>
      </c>
      <c r="E220">
        <v>175.8</v>
      </c>
      <c r="V220" t="s">
        <v>45</v>
      </c>
      <c r="W220">
        <v>2022</v>
      </c>
      <c r="X220" t="s">
        <v>65</v>
      </c>
      <c r="Y220" s="24">
        <v>168.4</v>
      </c>
      <c r="AQ220" t="s">
        <v>41</v>
      </c>
      <c r="AR220">
        <v>2022</v>
      </c>
      <c r="AS220" t="s">
        <v>66</v>
      </c>
      <c r="AT220" s="24">
        <v>146.10000000000002</v>
      </c>
    </row>
    <row r="221" spans="2:46" x14ac:dyDescent="0.3">
      <c r="B221" t="s">
        <v>45</v>
      </c>
      <c r="C221">
        <v>2022</v>
      </c>
      <c r="D221" t="s">
        <v>65</v>
      </c>
      <c r="E221">
        <v>179.8</v>
      </c>
      <c r="V221" t="s">
        <v>41</v>
      </c>
      <c r="W221">
        <v>2022</v>
      </c>
      <c r="X221" t="s">
        <v>66</v>
      </c>
      <c r="Y221" s="24">
        <v>172.1</v>
      </c>
      <c r="AQ221" t="s">
        <v>44</v>
      </c>
      <c r="AR221">
        <v>2022</v>
      </c>
      <c r="AS221" t="s">
        <v>66</v>
      </c>
      <c r="AT221" s="24">
        <v>147.80000000000001</v>
      </c>
    </row>
    <row r="222" spans="2:46" x14ac:dyDescent="0.3">
      <c r="B222" t="s">
        <v>41</v>
      </c>
      <c r="C222">
        <v>2022</v>
      </c>
      <c r="D222" t="s">
        <v>66</v>
      </c>
      <c r="E222">
        <v>183.5</v>
      </c>
      <c r="V222" t="s">
        <v>44</v>
      </c>
      <c r="W222">
        <v>2022</v>
      </c>
      <c r="X222" t="s">
        <v>66</v>
      </c>
      <c r="Y222" s="24">
        <v>166.1</v>
      </c>
      <c r="AQ222" t="s">
        <v>45</v>
      </c>
      <c r="AR222">
        <v>2022</v>
      </c>
      <c r="AS222" t="s">
        <v>66</v>
      </c>
      <c r="AT222" s="24">
        <v>146.67500000000001</v>
      </c>
    </row>
    <row r="223" spans="2:46" x14ac:dyDescent="0.3">
      <c r="B223" t="s">
        <v>44</v>
      </c>
      <c r="C223">
        <v>2022</v>
      </c>
      <c r="D223" t="s">
        <v>66</v>
      </c>
      <c r="E223">
        <v>177.2</v>
      </c>
      <c r="V223" t="s">
        <v>45</v>
      </c>
      <c r="W223">
        <v>2022</v>
      </c>
      <c r="X223" t="s">
        <v>66</v>
      </c>
      <c r="Y223" s="24">
        <v>168.79999999999998</v>
      </c>
      <c r="AQ223" t="s">
        <v>41</v>
      </c>
      <c r="AR223">
        <v>2023</v>
      </c>
      <c r="AS223" t="s">
        <v>56</v>
      </c>
      <c r="AT223" s="24">
        <v>145.91249999999999</v>
      </c>
    </row>
    <row r="224" spans="2:46" x14ac:dyDescent="0.3">
      <c r="B224" t="s">
        <v>45</v>
      </c>
      <c r="C224">
        <v>2022</v>
      </c>
      <c r="D224" t="s">
        <v>66</v>
      </c>
      <c r="E224">
        <v>181.1</v>
      </c>
      <c r="V224" t="s">
        <v>41</v>
      </c>
      <c r="W224">
        <v>2023</v>
      </c>
      <c r="X224" t="s">
        <v>56</v>
      </c>
      <c r="Y224" s="24">
        <v>172.6</v>
      </c>
      <c r="AQ224" t="s">
        <v>44</v>
      </c>
      <c r="AR224">
        <v>2023</v>
      </c>
      <c r="AS224" t="s">
        <v>56</v>
      </c>
      <c r="AT224" s="24">
        <v>148.16249999999999</v>
      </c>
    </row>
    <row r="225" spans="2:46" x14ac:dyDescent="0.3">
      <c r="B225" t="s">
        <v>41</v>
      </c>
      <c r="C225">
        <v>2023</v>
      </c>
      <c r="D225" t="s">
        <v>56</v>
      </c>
      <c r="E225">
        <v>184.7</v>
      </c>
      <c r="V225" t="s">
        <v>44</v>
      </c>
      <c r="W225">
        <v>2023</v>
      </c>
      <c r="X225" t="s">
        <v>56</v>
      </c>
      <c r="Y225" s="24">
        <v>166.36666666666667</v>
      </c>
      <c r="AQ225" t="s">
        <v>45</v>
      </c>
      <c r="AR225">
        <v>2023</v>
      </c>
      <c r="AS225" t="s">
        <v>56</v>
      </c>
      <c r="AT225" s="24">
        <v>146.69999999999999</v>
      </c>
    </row>
    <row r="226" spans="2:46" x14ac:dyDescent="0.3">
      <c r="B226" t="s">
        <v>44</v>
      </c>
      <c r="C226">
        <v>2023</v>
      </c>
      <c r="D226" t="s">
        <v>56</v>
      </c>
      <c r="E226">
        <v>178.5</v>
      </c>
      <c r="V226" t="s">
        <v>45</v>
      </c>
      <c r="W226">
        <v>2023</v>
      </c>
      <c r="X226" t="s">
        <v>56</v>
      </c>
      <c r="Y226" s="24">
        <v>169.13333333333335</v>
      </c>
      <c r="AQ226" t="s">
        <v>41</v>
      </c>
      <c r="AR226">
        <v>2023</v>
      </c>
      <c r="AS226" t="s">
        <v>57</v>
      </c>
      <c r="AT226" s="24">
        <v>145.91249999999999</v>
      </c>
    </row>
    <row r="227" spans="2:46" x14ac:dyDescent="0.3">
      <c r="B227" t="s">
        <v>45</v>
      </c>
      <c r="C227">
        <v>2023</v>
      </c>
      <c r="D227" t="s">
        <v>56</v>
      </c>
      <c r="E227">
        <v>182.3</v>
      </c>
      <c r="V227" t="s">
        <v>41</v>
      </c>
      <c r="W227">
        <v>2023</v>
      </c>
      <c r="X227" t="s">
        <v>57</v>
      </c>
      <c r="Y227" s="24">
        <v>173.43333333333331</v>
      </c>
      <c r="AQ227" t="s">
        <v>44</v>
      </c>
      <c r="AR227">
        <v>2023</v>
      </c>
      <c r="AS227" t="s">
        <v>57</v>
      </c>
      <c r="AT227" s="24">
        <v>149.21250000000001</v>
      </c>
    </row>
    <row r="228" spans="2:46" x14ac:dyDescent="0.3">
      <c r="B228" t="s">
        <v>41</v>
      </c>
      <c r="C228">
        <v>2023</v>
      </c>
      <c r="D228" t="s">
        <v>57</v>
      </c>
      <c r="E228">
        <v>186.6</v>
      </c>
      <c r="V228" t="s">
        <v>44</v>
      </c>
      <c r="W228">
        <v>2023</v>
      </c>
      <c r="X228" t="s">
        <v>57</v>
      </c>
      <c r="Y228" s="24">
        <v>166.9</v>
      </c>
      <c r="AQ228" t="s">
        <v>45</v>
      </c>
      <c r="AR228">
        <v>2023</v>
      </c>
      <c r="AS228" t="s">
        <v>57</v>
      </c>
      <c r="AT228" s="24">
        <v>147.07500000000002</v>
      </c>
    </row>
    <row r="229" spans="2:46" x14ac:dyDescent="0.3">
      <c r="B229" t="s">
        <v>44</v>
      </c>
      <c r="C229">
        <v>2023</v>
      </c>
      <c r="D229" t="s">
        <v>57</v>
      </c>
      <c r="E229">
        <v>180.8</v>
      </c>
      <c r="V229" t="s">
        <v>45</v>
      </c>
      <c r="W229">
        <v>2023</v>
      </c>
      <c r="X229" t="s">
        <v>57</v>
      </c>
      <c r="Y229" s="24">
        <v>169.83333333333334</v>
      </c>
      <c r="AQ229" t="s">
        <v>41</v>
      </c>
      <c r="AR229">
        <v>2023</v>
      </c>
      <c r="AS229" t="s">
        <v>58</v>
      </c>
      <c r="AT229" s="24">
        <v>145.92499999999998</v>
      </c>
    </row>
    <row r="230" spans="2:46" x14ac:dyDescent="0.3">
      <c r="B230" t="s">
        <v>45</v>
      </c>
      <c r="C230">
        <v>2023</v>
      </c>
      <c r="D230" t="s">
        <v>57</v>
      </c>
      <c r="E230">
        <v>184.4</v>
      </c>
      <c r="V230" t="s">
        <v>41</v>
      </c>
      <c r="W230">
        <v>2023</v>
      </c>
      <c r="X230" t="s">
        <v>58</v>
      </c>
      <c r="Y230" s="24">
        <v>173.43333333333331</v>
      </c>
      <c r="AQ230" t="s">
        <v>44</v>
      </c>
      <c r="AR230">
        <v>2023</v>
      </c>
      <c r="AS230" t="s">
        <v>58</v>
      </c>
      <c r="AT230" s="24">
        <v>149.22499999999999</v>
      </c>
    </row>
    <row r="231" spans="2:46" x14ac:dyDescent="0.3">
      <c r="B231" t="s">
        <v>41</v>
      </c>
      <c r="C231">
        <v>2023</v>
      </c>
      <c r="D231" t="s">
        <v>58</v>
      </c>
      <c r="E231">
        <v>186.6</v>
      </c>
      <c r="V231" t="s">
        <v>44</v>
      </c>
      <c r="W231">
        <v>2023</v>
      </c>
      <c r="X231" t="s">
        <v>58</v>
      </c>
      <c r="Y231" s="24">
        <v>166.9</v>
      </c>
      <c r="AQ231" t="s">
        <v>45</v>
      </c>
      <c r="AR231">
        <v>2023</v>
      </c>
      <c r="AS231" t="s">
        <v>58</v>
      </c>
      <c r="AT231" s="24">
        <v>147.08750000000001</v>
      </c>
    </row>
    <row r="232" spans="2:46" x14ac:dyDescent="0.3">
      <c r="B232" t="s">
        <v>44</v>
      </c>
      <c r="C232">
        <v>2023</v>
      </c>
      <c r="D232" t="s">
        <v>58</v>
      </c>
      <c r="E232">
        <v>180.8</v>
      </c>
      <c r="V232" t="s">
        <v>45</v>
      </c>
      <c r="W232">
        <v>2023</v>
      </c>
      <c r="X232" t="s">
        <v>58</v>
      </c>
      <c r="Y232" s="24">
        <v>169.83333333333334</v>
      </c>
      <c r="AQ232" t="s">
        <v>41</v>
      </c>
      <c r="AR232">
        <v>2023</v>
      </c>
      <c r="AS232" t="s">
        <v>59</v>
      </c>
      <c r="AT232" s="24">
        <v>147.125</v>
      </c>
    </row>
    <row r="233" spans="2:46" x14ac:dyDescent="0.3">
      <c r="B233" t="s">
        <v>45</v>
      </c>
      <c r="C233">
        <v>2023</v>
      </c>
      <c r="D233" t="s">
        <v>58</v>
      </c>
      <c r="E233">
        <v>184.4</v>
      </c>
      <c r="V233" t="s">
        <v>41</v>
      </c>
      <c r="W233">
        <v>2023</v>
      </c>
      <c r="X233" t="s">
        <v>59</v>
      </c>
      <c r="Y233" s="24">
        <v>174</v>
      </c>
      <c r="AQ233" t="s">
        <v>44</v>
      </c>
      <c r="AR233">
        <v>2023</v>
      </c>
      <c r="AS233" t="s">
        <v>59</v>
      </c>
      <c r="AT233" s="24">
        <v>151.02500000000001</v>
      </c>
    </row>
    <row r="234" spans="2:46" x14ac:dyDescent="0.3">
      <c r="B234" t="s">
        <v>41</v>
      </c>
      <c r="C234">
        <v>2023</v>
      </c>
      <c r="D234" t="s">
        <v>59</v>
      </c>
      <c r="E234">
        <v>187.2</v>
      </c>
      <c r="V234" t="s">
        <v>44</v>
      </c>
      <c r="W234">
        <v>2023</v>
      </c>
      <c r="X234" t="s">
        <v>59</v>
      </c>
      <c r="Y234" s="24">
        <v>167.7</v>
      </c>
      <c r="AQ234" t="s">
        <v>45</v>
      </c>
      <c r="AR234">
        <v>2023</v>
      </c>
      <c r="AS234" t="s">
        <v>59</v>
      </c>
      <c r="AT234" s="24">
        <v>148.5</v>
      </c>
    </row>
    <row r="235" spans="2:46" x14ac:dyDescent="0.3">
      <c r="B235" t="s">
        <v>44</v>
      </c>
      <c r="C235">
        <v>2023</v>
      </c>
      <c r="D235" t="s">
        <v>59</v>
      </c>
      <c r="E235">
        <v>181.5</v>
      </c>
      <c r="V235" t="s">
        <v>45</v>
      </c>
      <c r="W235">
        <v>2023</v>
      </c>
      <c r="X235" t="s">
        <v>59</v>
      </c>
      <c r="Y235" s="24">
        <v>170.53333333333333</v>
      </c>
      <c r="AQ235" t="s">
        <v>41</v>
      </c>
      <c r="AR235">
        <v>2023</v>
      </c>
      <c r="AS235" t="s">
        <v>42</v>
      </c>
      <c r="AT235" s="24">
        <v>147.75</v>
      </c>
    </row>
    <row r="236" spans="2:46" x14ac:dyDescent="0.3">
      <c r="B236" t="s">
        <v>45</v>
      </c>
      <c r="C236">
        <v>2023</v>
      </c>
      <c r="D236" t="s">
        <v>59</v>
      </c>
      <c r="E236">
        <v>185</v>
      </c>
      <c r="V236" t="s">
        <v>41</v>
      </c>
      <c r="W236">
        <v>2023</v>
      </c>
      <c r="X236" t="s">
        <v>42</v>
      </c>
      <c r="Y236" s="24">
        <v>174.6</v>
      </c>
      <c r="AQ236" t="s">
        <v>44</v>
      </c>
      <c r="AR236">
        <v>2023</v>
      </c>
      <c r="AS236" t="s">
        <v>42</v>
      </c>
      <c r="AT236" s="24">
        <v>151.61250000000001</v>
      </c>
    </row>
    <row r="237" spans="2:46" x14ac:dyDescent="0.3">
      <c r="B237" t="s">
        <v>41</v>
      </c>
      <c r="C237">
        <v>2023</v>
      </c>
      <c r="D237" t="s">
        <v>42</v>
      </c>
      <c r="E237">
        <v>187.8</v>
      </c>
      <c r="V237" t="s">
        <v>44</v>
      </c>
      <c r="W237">
        <v>2023</v>
      </c>
      <c r="X237" t="s">
        <v>42</v>
      </c>
      <c r="Y237" s="24">
        <v>168.13333333333335</v>
      </c>
      <c r="AQ237" t="s">
        <v>45</v>
      </c>
      <c r="AR237">
        <v>2023</v>
      </c>
      <c r="AS237" t="s">
        <v>42</v>
      </c>
      <c r="AT237" s="24">
        <v>149.15</v>
      </c>
    </row>
    <row r="238" spans="2:46" x14ac:dyDescent="0.3">
      <c r="B238" t="s">
        <v>44</v>
      </c>
      <c r="C238">
        <v>2023</v>
      </c>
      <c r="D238" t="s">
        <v>42</v>
      </c>
      <c r="E238">
        <v>182.2</v>
      </c>
      <c r="V238" t="s">
        <v>45</v>
      </c>
      <c r="W238">
        <v>2023</v>
      </c>
      <c r="X238" t="s">
        <v>42</v>
      </c>
      <c r="Y238" s="24">
        <v>171.03333333333333</v>
      </c>
    </row>
    <row r="239" spans="2:46" x14ac:dyDescent="0.3">
      <c r="B239" t="s">
        <v>45</v>
      </c>
      <c r="C239">
        <v>2023</v>
      </c>
      <c r="D239" t="s">
        <v>42</v>
      </c>
      <c r="E239">
        <v>185.7</v>
      </c>
    </row>
    <row r="272" spans="2:5" x14ac:dyDescent="0.3">
      <c r="B272" s="14"/>
      <c r="C272" s="14"/>
      <c r="D272" s="14"/>
      <c r="E272" s="14"/>
    </row>
    <row r="273" spans="2:5" x14ac:dyDescent="0.3">
      <c r="B273" s="14"/>
      <c r="C273" s="14"/>
      <c r="D273" s="14"/>
      <c r="E273" s="14"/>
    </row>
    <row r="274" spans="2:5" x14ac:dyDescent="0.3">
      <c r="B274" s="14"/>
      <c r="C274" s="14"/>
      <c r="D274" s="14"/>
      <c r="E274" s="14"/>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99B4-0960-42B5-A113-4C9BBB22C342}">
  <dimension ref="A3:Y45"/>
  <sheetViews>
    <sheetView zoomScale="93" workbookViewId="0">
      <selection activeCell="L8" sqref="L8"/>
    </sheetView>
  </sheetViews>
  <sheetFormatPr defaultRowHeight="14.4" x14ac:dyDescent="0.3"/>
  <cols>
    <col min="3" max="3" width="15.77734375" customWidth="1"/>
    <col min="5" max="5" width="12.21875" customWidth="1"/>
    <col min="6" max="6" width="12.77734375" customWidth="1"/>
    <col min="10" max="10" width="13.6640625" customWidth="1"/>
  </cols>
  <sheetData>
    <row r="3" spans="1:10" ht="21" x14ac:dyDescent="0.4">
      <c r="A3" s="9" t="s">
        <v>97</v>
      </c>
      <c r="B3" s="10" t="s">
        <v>98</v>
      </c>
      <c r="C3" s="10"/>
      <c r="D3" s="10"/>
      <c r="E3" s="10"/>
      <c r="F3" s="10"/>
      <c r="G3" s="10"/>
      <c r="H3" s="10"/>
      <c r="I3" s="10"/>
      <c r="J3" s="10"/>
    </row>
    <row r="6" spans="1:10" x14ac:dyDescent="0.3">
      <c r="B6" s="1" t="s">
        <v>77</v>
      </c>
      <c r="C6" s="1" t="s">
        <v>155</v>
      </c>
      <c r="D6" s="1"/>
    </row>
    <row r="8" spans="1:10" x14ac:dyDescent="0.3">
      <c r="B8" s="20" t="s">
        <v>38</v>
      </c>
      <c r="C8" s="11" t="s">
        <v>99</v>
      </c>
      <c r="D8" s="17" t="s">
        <v>103</v>
      </c>
      <c r="E8" s="17" t="s">
        <v>105</v>
      </c>
      <c r="F8" s="17" t="s">
        <v>104</v>
      </c>
      <c r="G8" s="17" t="s">
        <v>33</v>
      </c>
      <c r="H8" s="17" t="s">
        <v>100</v>
      </c>
      <c r="I8" s="17" t="s">
        <v>101</v>
      </c>
      <c r="J8" s="17" t="s">
        <v>102</v>
      </c>
    </row>
    <row r="9" spans="1:10" x14ac:dyDescent="0.3">
      <c r="B9" s="18">
        <v>44197</v>
      </c>
      <c r="C9" s="12">
        <v>49.47</v>
      </c>
      <c r="D9" s="4">
        <v>1092.9000000000001</v>
      </c>
      <c r="E9" s="4">
        <v>1004.1</v>
      </c>
      <c r="F9" s="4">
        <v>438.4</v>
      </c>
      <c r="G9" s="4">
        <v>154.1</v>
      </c>
      <c r="H9" s="4">
        <v>191.8</v>
      </c>
      <c r="I9" s="4">
        <v>446.3</v>
      </c>
      <c r="J9" s="4">
        <v>745.30000000000007</v>
      </c>
    </row>
    <row r="10" spans="1:10" x14ac:dyDescent="0.3">
      <c r="B10" s="18">
        <v>44228</v>
      </c>
      <c r="C10" s="12">
        <v>56.44</v>
      </c>
      <c r="D10" s="4">
        <v>1070.4000000000001</v>
      </c>
      <c r="E10" s="4">
        <v>995.60000000000014</v>
      </c>
      <c r="F10" s="4">
        <v>444.4</v>
      </c>
      <c r="G10" s="4">
        <v>156.30000000000001</v>
      </c>
      <c r="H10" s="4">
        <v>193.3</v>
      </c>
      <c r="I10" s="4">
        <v>455.4</v>
      </c>
      <c r="J10" s="4">
        <v>750.2</v>
      </c>
    </row>
    <row r="11" spans="1:10" x14ac:dyDescent="0.3">
      <c r="B11" s="18">
        <v>44256</v>
      </c>
      <c r="C11" s="12">
        <v>60.43</v>
      </c>
      <c r="D11" s="4">
        <v>1065.3</v>
      </c>
      <c r="E11" s="4">
        <v>999.19999999999993</v>
      </c>
      <c r="F11" s="4">
        <v>447.9</v>
      </c>
      <c r="G11" s="4">
        <v>156.9</v>
      </c>
      <c r="H11" s="4">
        <v>193.5</v>
      </c>
      <c r="I11" s="4">
        <v>461.90000000000003</v>
      </c>
      <c r="J11" s="4">
        <v>751.3</v>
      </c>
    </row>
    <row r="12" spans="1:10" x14ac:dyDescent="0.3">
      <c r="B12" s="18">
        <v>44287</v>
      </c>
      <c r="C12" s="12">
        <v>59.87</v>
      </c>
      <c r="D12" s="4">
        <v>1079.8</v>
      </c>
      <c r="E12" s="4">
        <v>1009.8</v>
      </c>
      <c r="F12" s="4">
        <v>448.79999999999995</v>
      </c>
      <c r="G12" s="4">
        <v>157.5</v>
      </c>
      <c r="H12" s="4">
        <v>194.4</v>
      </c>
      <c r="I12" s="4">
        <v>463.9</v>
      </c>
      <c r="J12" s="4">
        <v>755.7</v>
      </c>
    </row>
    <row r="13" spans="1:10" x14ac:dyDescent="0.3">
      <c r="B13" s="18">
        <v>44317</v>
      </c>
      <c r="C13" s="12">
        <v>62.8</v>
      </c>
      <c r="D13" s="4">
        <v>1103.5999999999999</v>
      </c>
      <c r="E13" s="4">
        <v>1021.0999999999999</v>
      </c>
      <c r="F13" s="4">
        <v>454.20000000000005</v>
      </c>
      <c r="G13" s="4">
        <v>160.4</v>
      </c>
      <c r="H13" s="4">
        <v>198.2</v>
      </c>
      <c r="I13" s="4">
        <v>467.20000000000005</v>
      </c>
      <c r="J13" s="4">
        <v>760.59999999999991</v>
      </c>
    </row>
    <row r="14" spans="1:10" x14ac:dyDescent="0.3">
      <c r="B14" s="18">
        <v>44348</v>
      </c>
      <c r="C14" s="12">
        <v>68.58</v>
      </c>
      <c r="D14" s="4">
        <v>1117.5999999999999</v>
      </c>
      <c r="E14" s="4">
        <v>1036.5999999999999</v>
      </c>
      <c r="F14" s="4">
        <v>456.29999999999995</v>
      </c>
      <c r="G14" s="4">
        <v>160.80000000000001</v>
      </c>
      <c r="H14" s="4">
        <v>195.6</v>
      </c>
      <c r="I14" s="4">
        <v>466.40000000000003</v>
      </c>
      <c r="J14" s="4">
        <v>764</v>
      </c>
    </row>
    <row r="15" spans="1:10" x14ac:dyDescent="0.3">
      <c r="B15" s="18">
        <v>44378</v>
      </c>
      <c r="C15" s="12">
        <v>70.12</v>
      </c>
      <c r="D15" s="4">
        <v>1122.9000000000001</v>
      </c>
      <c r="E15" s="4">
        <v>1048.8999999999999</v>
      </c>
      <c r="F15" s="4">
        <v>461</v>
      </c>
      <c r="G15" s="4">
        <v>161.5</v>
      </c>
      <c r="H15" s="4">
        <v>195.5</v>
      </c>
      <c r="I15" s="4">
        <v>469.9</v>
      </c>
      <c r="J15" s="4">
        <v>769.9</v>
      </c>
    </row>
    <row r="16" spans="1:10" x14ac:dyDescent="0.3">
      <c r="B16" s="18">
        <v>44409</v>
      </c>
      <c r="C16" s="12">
        <v>65.680000000000007</v>
      </c>
      <c r="D16" s="4">
        <v>1120</v>
      </c>
      <c r="E16" s="4">
        <v>1037.9000000000001</v>
      </c>
      <c r="F16" s="4">
        <v>464.5</v>
      </c>
      <c r="G16" s="4">
        <v>162.80000000000001</v>
      </c>
      <c r="H16" s="4">
        <v>196.5</v>
      </c>
      <c r="I16" s="4">
        <v>475.99999999999994</v>
      </c>
      <c r="J16" s="4">
        <v>776.3</v>
      </c>
    </row>
    <row r="17" spans="2:10" x14ac:dyDescent="0.3">
      <c r="B17" s="18">
        <v>44440</v>
      </c>
      <c r="C17" s="12">
        <v>69.09</v>
      </c>
      <c r="D17" s="4">
        <v>1120.0999999999999</v>
      </c>
      <c r="E17" s="4">
        <v>1037.8000000000002</v>
      </c>
      <c r="F17" s="4">
        <v>464.7</v>
      </c>
      <c r="G17" s="4">
        <v>162.80000000000001</v>
      </c>
      <c r="H17" s="4">
        <v>196.5</v>
      </c>
      <c r="I17" s="4">
        <v>476.2</v>
      </c>
      <c r="J17" s="4">
        <v>776.4</v>
      </c>
    </row>
    <row r="18" spans="2:10" x14ac:dyDescent="0.3">
      <c r="B18" s="19" t="s">
        <v>106</v>
      </c>
      <c r="C18" s="12">
        <v>78.510000000000005</v>
      </c>
      <c r="D18" s="4">
        <v>1155</v>
      </c>
      <c r="E18" s="4">
        <v>1043.3999999999999</v>
      </c>
      <c r="F18" s="4">
        <v>467.59999999999997</v>
      </c>
      <c r="G18" s="4">
        <v>163.5</v>
      </c>
      <c r="H18" s="4">
        <v>197</v>
      </c>
      <c r="I18" s="4">
        <v>480.09999999999997</v>
      </c>
      <c r="J18" s="4">
        <v>780.80000000000007</v>
      </c>
    </row>
    <row r="19" spans="2:10" x14ac:dyDescent="0.3">
      <c r="B19" s="18">
        <v>44501</v>
      </c>
      <c r="C19" s="12">
        <v>76.45</v>
      </c>
      <c r="D19" s="4">
        <v>1171.6000000000001</v>
      </c>
      <c r="E19" s="4">
        <v>1046.3</v>
      </c>
      <c r="F19" s="4">
        <v>468.7</v>
      </c>
      <c r="G19" s="4">
        <v>164.2</v>
      </c>
      <c r="H19" s="4">
        <v>197</v>
      </c>
      <c r="I19" s="4">
        <v>480.99999999999994</v>
      </c>
      <c r="J19" s="4">
        <v>786.40000000000009</v>
      </c>
    </row>
    <row r="20" spans="2:10" x14ac:dyDescent="0.3">
      <c r="B20" s="18">
        <v>44531</v>
      </c>
      <c r="C20" s="12">
        <v>70.56</v>
      </c>
      <c r="D20" s="4">
        <v>1157.2</v>
      </c>
      <c r="E20" s="4">
        <v>1049.1000000000001</v>
      </c>
      <c r="F20" s="4">
        <v>470</v>
      </c>
      <c r="G20" s="4">
        <v>165.1</v>
      </c>
      <c r="H20" s="4">
        <v>196.8</v>
      </c>
      <c r="I20" s="4">
        <v>481.1</v>
      </c>
      <c r="J20" s="4">
        <v>790.90000000000009</v>
      </c>
    </row>
    <row r="21" spans="2:10" x14ac:dyDescent="0.3">
      <c r="B21" s="18">
        <v>44562</v>
      </c>
      <c r="C21" s="12">
        <v>80.33</v>
      </c>
      <c r="D21" s="4">
        <v>1138.1999999999998</v>
      </c>
      <c r="E21" s="4">
        <v>1048.5</v>
      </c>
      <c r="F21" s="4">
        <v>472.1</v>
      </c>
      <c r="G21" s="4">
        <v>166.1</v>
      </c>
      <c r="H21" s="4">
        <v>196.4</v>
      </c>
      <c r="I21" s="4">
        <v>482.90000000000003</v>
      </c>
      <c r="J21" s="4">
        <v>796.80000000000007</v>
      </c>
    </row>
    <row r="22" spans="2:10" x14ac:dyDescent="0.3">
      <c r="B22" s="18">
        <v>44593</v>
      </c>
      <c r="C22" s="12">
        <v>89.41</v>
      </c>
      <c r="D22" s="4">
        <v>1134.3999999999999</v>
      </c>
      <c r="E22" s="4">
        <v>1049.1000000000001</v>
      </c>
      <c r="F22" s="4">
        <v>474.6</v>
      </c>
      <c r="G22" s="4">
        <v>167.2</v>
      </c>
      <c r="H22" s="4">
        <v>196.5</v>
      </c>
      <c r="I22" s="4">
        <v>485.9</v>
      </c>
      <c r="J22" s="4">
        <v>803.1</v>
      </c>
    </row>
    <row r="23" spans="2:10" x14ac:dyDescent="0.3">
      <c r="B23" s="18">
        <v>44621</v>
      </c>
      <c r="C23" s="12">
        <v>107.07</v>
      </c>
      <c r="D23" s="4">
        <v>1140.0999999999999</v>
      </c>
      <c r="E23" s="4">
        <v>1056.2</v>
      </c>
      <c r="F23" s="4">
        <v>477.7</v>
      </c>
      <c r="G23" s="4">
        <v>168.2</v>
      </c>
      <c r="H23" s="4">
        <v>197.5</v>
      </c>
      <c r="I23" s="4">
        <v>488.4</v>
      </c>
      <c r="J23" s="4">
        <v>812.00000000000011</v>
      </c>
    </row>
    <row r="24" spans="2:10" x14ac:dyDescent="0.3">
      <c r="B24" s="18">
        <v>44652</v>
      </c>
      <c r="C24" s="12">
        <v>103.32</v>
      </c>
      <c r="D24" s="4">
        <v>1170.5</v>
      </c>
      <c r="E24" s="4">
        <v>1059.8999999999999</v>
      </c>
      <c r="F24" s="4">
        <v>485.5</v>
      </c>
      <c r="G24" s="4">
        <v>169</v>
      </c>
      <c r="H24" s="4">
        <v>197.1</v>
      </c>
      <c r="I24" s="4">
        <v>497.3</v>
      </c>
      <c r="J24" s="4">
        <v>820.7</v>
      </c>
    </row>
    <row r="25" spans="2:10" x14ac:dyDescent="0.3">
      <c r="B25" s="18">
        <v>44682</v>
      </c>
      <c r="C25" s="12">
        <v>108.29</v>
      </c>
      <c r="D25" s="4">
        <v>1190.6000000000001</v>
      </c>
      <c r="E25" s="4">
        <v>1071.5999999999999</v>
      </c>
      <c r="F25" s="4">
        <v>487.8</v>
      </c>
      <c r="G25" s="4">
        <v>170.1</v>
      </c>
      <c r="H25" s="4">
        <v>197.5</v>
      </c>
      <c r="I25" s="4">
        <v>502.1</v>
      </c>
      <c r="J25" s="4">
        <v>825.7</v>
      </c>
    </row>
    <row r="26" spans="2:10" x14ac:dyDescent="0.3">
      <c r="B26" s="18">
        <v>44713</v>
      </c>
      <c r="C26" s="12">
        <v>113.77</v>
      </c>
      <c r="D26" s="4">
        <v>1200.2</v>
      </c>
      <c r="E26" s="4">
        <v>1087.3</v>
      </c>
      <c r="F26" s="4">
        <v>487.79999999999995</v>
      </c>
      <c r="G26" s="4">
        <v>170.9</v>
      </c>
      <c r="H26" s="4">
        <v>198.3</v>
      </c>
      <c r="I26" s="4">
        <v>503.80000000000007</v>
      </c>
      <c r="J26" s="4">
        <v>831.39999999999986</v>
      </c>
    </row>
    <row r="27" spans="2:10" x14ac:dyDescent="0.3">
      <c r="B27" s="18">
        <v>44743</v>
      </c>
      <c r="C27" s="12">
        <v>100.84</v>
      </c>
      <c r="D27" s="4">
        <v>1203.9000000000001</v>
      </c>
      <c r="E27" s="4">
        <v>1087.7</v>
      </c>
      <c r="F27" s="4">
        <v>491.1</v>
      </c>
      <c r="G27" s="4">
        <v>171.7</v>
      </c>
      <c r="H27" s="4">
        <v>198.6</v>
      </c>
      <c r="I27" s="4">
        <v>510.4</v>
      </c>
      <c r="J27" s="4">
        <v>836.5</v>
      </c>
    </row>
    <row r="28" spans="2:10" x14ac:dyDescent="0.3">
      <c r="B28" s="18">
        <v>44774</v>
      </c>
      <c r="C28" s="12">
        <v>93.76</v>
      </c>
      <c r="D28" s="4">
        <v>1214.0000000000002</v>
      </c>
      <c r="E28" s="4">
        <v>1079.7</v>
      </c>
      <c r="F28" s="4">
        <v>492.69999999999993</v>
      </c>
      <c r="G28" s="4">
        <v>172.6</v>
      </c>
      <c r="H28" s="4">
        <v>198.7</v>
      </c>
      <c r="I28" s="4">
        <v>511.59999999999997</v>
      </c>
      <c r="J28" s="4">
        <v>842.09999999999991</v>
      </c>
    </row>
    <row r="29" spans="2:10" x14ac:dyDescent="0.3">
      <c r="B29" s="18">
        <v>44805</v>
      </c>
      <c r="C29" s="12">
        <v>84.62</v>
      </c>
      <c r="D29" s="4">
        <v>1218.3999999999999</v>
      </c>
      <c r="E29" s="4">
        <v>1088</v>
      </c>
      <c r="F29" s="4">
        <v>494.9</v>
      </c>
      <c r="G29" s="4">
        <v>173.8</v>
      </c>
      <c r="H29" s="4">
        <v>199.7</v>
      </c>
      <c r="I29" s="4">
        <v>513.70000000000005</v>
      </c>
      <c r="J29" s="4">
        <v>846.9</v>
      </c>
    </row>
    <row r="30" spans="2:10" x14ac:dyDescent="0.3">
      <c r="B30" s="18">
        <v>44835</v>
      </c>
      <c r="C30" s="12">
        <v>86.61</v>
      </c>
      <c r="D30" s="4">
        <v>1228.1000000000001</v>
      </c>
      <c r="E30" s="4">
        <v>1094.2</v>
      </c>
      <c r="F30" s="4">
        <v>496.3</v>
      </c>
      <c r="G30" s="4">
        <v>174.7</v>
      </c>
      <c r="H30" s="4">
        <v>200.1</v>
      </c>
      <c r="I30" s="4">
        <v>517.20000000000005</v>
      </c>
      <c r="J30" s="4">
        <v>850.8</v>
      </c>
    </row>
    <row r="31" spans="2:10" x14ac:dyDescent="0.3">
      <c r="B31" s="18">
        <v>44866</v>
      </c>
      <c r="C31" s="12">
        <v>84.43</v>
      </c>
      <c r="D31" s="4">
        <v>1209.7</v>
      </c>
      <c r="E31" s="4">
        <v>1104.7</v>
      </c>
      <c r="F31" s="4">
        <v>497.1</v>
      </c>
      <c r="G31" s="4">
        <v>175.8</v>
      </c>
      <c r="H31" s="4">
        <v>200.6</v>
      </c>
      <c r="I31" s="4">
        <v>519</v>
      </c>
      <c r="J31" s="4">
        <v>856.1</v>
      </c>
    </row>
    <row r="32" spans="2:10" x14ac:dyDescent="0.3">
      <c r="B32" s="18">
        <v>44896</v>
      </c>
      <c r="C32" s="12">
        <v>80.52</v>
      </c>
      <c r="D32" s="4">
        <v>1182.4000000000001</v>
      </c>
      <c r="E32" s="4">
        <v>1113.3999999999999</v>
      </c>
      <c r="F32" s="4">
        <v>498.3</v>
      </c>
      <c r="G32" s="4">
        <v>177.2</v>
      </c>
      <c r="H32" s="4">
        <v>201.1</v>
      </c>
      <c r="I32" s="4">
        <v>518.59999999999991</v>
      </c>
      <c r="J32" s="4">
        <v>862.09999999999991</v>
      </c>
    </row>
    <row r="33" spans="2:25" ht="15.6" x14ac:dyDescent="0.3">
      <c r="B33" s="21" t="s">
        <v>107</v>
      </c>
      <c r="C33" s="21"/>
      <c r="D33" s="22">
        <f>CORREL(C9:C32,D9:D32)</f>
        <v>0.7361415602556538</v>
      </c>
      <c r="E33" s="22">
        <f>CORREL(C9:C32,E9:E32)</f>
        <v>0.71746017333024581</v>
      </c>
      <c r="F33" s="22">
        <f>CORREL(C9:C32,F9:F32)</f>
        <v>0.79679720593557324</v>
      </c>
      <c r="G33" s="22">
        <f>CORREL(C9:C32,G9:G32)</f>
        <v>0.75251899682717038</v>
      </c>
      <c r="H33" s="22">
        <f>CORREL(C9:C32,H9:H32)</f>
        <v>0.60736720705748393</v>
      </c>
      <c r="I33" s="22">
        <f>CORREL(C9:C32,I9:I32)</f>
        <v>0.75146673207769377</v>
      </c>
      <c r="J33" s="22">
        <f>CORREL(C9:C32,J9:J32)</f>
        <v>0.7588157693467561</v>
      </c>
    </row>
    <row r="37" spans="2:25" x14ac:dyDescent="0.3">
      <c r="E37" s="1" t="s">
        <v>149</v>
      </c>
      <c r="F37" s="1" t="s">
        <v>147</v>
      </c>
      <c r="G37" s="1"/>
      <c r="H37" s="1"/>
      <c r="I37" s="1"/>
      <c r="J37" s="1"/>
    </row>
    <row r="38" spans="2:25" x14ac:dyDescent="0.3">
      <c r="F38" s="1" t="s">
        <v>148</v>
      </c>
      <c r="G38" s="1"/>
      <c r="H38" s="1"/>
      <c r="I38" s="1"/>
      <c r="J38" s="1"/>
    </row>
    <row r="41" spans="2:25" ht="15" thickBot="1" x14ac:dyDescent="0.35">
      <c r="C41" s="55" t="s">
        <v>150</v>
      </c>
    </row>
    <row r="42" spans="2:25" x14ac:dyDescent="0.3">
      <c r="C42" s="53" t="s">
        <v>133</v>
      </c>
      <c r="D42" s="37" t="s">
        <v>151</v>
      </c>
      <c r="E42" s="38"/>
      <c r="F42" s="38"/>
      <c r="G42" s="38"/>
      <c r="H42" s="38"/>
      <c r="I42" s="38"/>
      <c r="J42" s="38"/>
      <c r="K42" s="38"/>
      <c r="L42" s="38"/>
      <c r="M42" s="38"/>
      <c r="N42" s="38"/>
      <c r="O42" s="38"/>
      <c r="P42" s="38"/>
      <c r="Q42" s="38"/>
      <c r="R42" s="38"/>
      <c r="S42" s="38"/>
      <c r="T42" s="38"/>
      <c r="U42" s="38"/>
      <c r="V42" s="38"/>
      <c r="W42" s="38"/>
      <c r="X42" s="38"/>
      <c r="Y42" s="39"/>
    </row>
    <row r="43" spans="2:25" x14ac:dyDescent="0.3">
      <c r="C43" s="53" t="s">
        <v>133</v>
      </c>
      <c r="D43" s="40" t="s">
        <v>152</v>
      </c>
      <c r="E43" s="1"/>
      <c r="F43" s="1"/>
      <c r="G43" s="1"/>
      <c r="H43" s="1"/>
      <c r="I43" s="1"/>
      <c r="J43" s="1"/>
      <c r="K43" s="1"/>
      <c r="L43" s="1"/>
      <c r="M43" s="1"/>
      <c r="N43" s="1"/>
      <c r="O43" s="1"/>
      <c r="P43" s="1"/>
      <c r="Q43" s="1"/>
      <c r="R43" s="1"/>
      <c r="S43" s="1"/>
      <c r="T43" s="1"/>
      <c r="U43" s="1"/>
      <c r="V43" s="1"/>
      <c r="W43" s="1"/>
      <c r="X43" s="1"/>
      <c r="Y43" s="41"/>
    </row>
    <row r="44" spans="2:25" x14ac:dyDescent="0.3">
      <c r="C44" s="53" t="s">
        <v>133</v>
      </c>
      <c r="D44" s="40" t="s">
        <v>153</v>
      </c>
      <c r="E44" s="1"/>
      <c r="F44" s="1"/>
      <c r="G44" s="1"/>
      <c r="H44" s="1"/>
      <c r="I44" s="1"/>
      <c r="J44" s="1"/>
      <c r="K44" s="1"/>
      <c r="L44" s="1"/>
      <c r="M44" s="1"/>
      <c r="N44" s="1"/>
      <c r="O44" s="1"/>
      <c r="P44" s="1"/>
      <c r="Q44" s="1"/>
      <c r="R44" s="1"/>
      <c r="S44" s="1"/>
      <c r="T44" s="1"/>
      <c r="U44" s="1"/>
      <c r="V44" s="1"/>
      <c r="W44" s="1"/>
      <c r="X44" s="1"/>
      <c r="Y44" s="41"/>
    </row>
    <row r="45" spans="2:25" ht="15" thickBot="1" x14ac:dyDescent="0.35">
      <c r="C45" s="53" t="s">
        <v>133</v>
      </c>
      <c r="D45" s="42" t="s">
        <v>154</v>
      </c>
      <c r="E45" s="43"/>
      <c r="F45" s="43"/>
      <c r="G45" s="43"/>
      <c r="H45" s="43"/>
      <c r="I45" s="43"/>
      <c r="J45" s="43"/>
      <c r="K45" s="43"/>
      <c r="L45" s="43"/>
      <c r="M45" s="43"/>
      <c r="N45" s="43"/>
      <c r="O45" s="43"/>
      <c r="P45" s="43"/>
      <c r="Q45" s="43"/>
      <c r="R45" s="43"/>
      <c r="S45" s="43"/>
      <c r="T45" s="43"/>
      <c r="U45" s="43"/>
      <c r="V45" s="43"/>
      <c r="W45" s="43"/>
      <c r="X45" s="43"/>
      <c r="Y45" s="54"/>
    </row>
  </sheetData>
  <conditionalFormatting sqref="B33:J33">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MAIN DATA</vt:lpstr>
      <vt:lpstr>WORKING DATASET</vt:lpstr>
      <vt:lpstr>#</vt:lpstr>
      <vt:lpstr>Q-1</vt:lpstr>
      <vt:lpstr>Q-2</vt:lpstr>
      <vt:lpstr>Q-3 (A)</vt:lpstr>
      <vt:lpstr>Q-3 (B)</vt:lpstr>
      <vt:lpstr>Q-4 </vt:lpstr>
      <vt:lpstr>Q-5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Tamanna Rana</dc:creator>
  <cp:lastModifiedBy>Tamanna Rana</cp:lastModifiedBy>
  <dcterms:created xsi:type="dcterms:W3CDTF">2025-03-14T21:05:42Z</dcterms:created>
  <dcterms:modified xsi:type="dcterms:W3CDTF">2025-03-19T11:47:42Z</dcterms:modified>
</cp:coreProperties>
</file>